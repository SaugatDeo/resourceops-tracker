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B3743E66-A94B-4FC7-AD60-811EAE9C1A25}" xr6:coauthVersionLast="47" xr6:coauthVersionMax="47" xr10:uidLastSave="{00000000-0000-0000-0000-000000000000}"/>
  <bookViews>
    <workbookView xWindow="0" yWindow="0" windowWidth="0" windowHeight="0" firstSheet="5" activeTab="1" xr2:uid="{00000000-000D-0000-FFFF-FFFF00000000}"/>
  </bookViews>
  <sheets>
    <sheet name="Practitioners" sheetId="1" r:id="rId1"/>
    <sheet name="Requests" sheetId="2" r:id="rId2"/>
    <sheet name="Schedule" sheetId="3" r:id="rId3"/>
    <sheet name="Leave" sheetId="4" r:id="rId4"/>
    <sheet name="Training" sheetId="5" r:id="rId5"/>
    <sheet name="Dashbo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B12" i="6"/>
  <c r="B6" i="6"/>
  <c r="B5" i="6"/>
  <c r="B4" i="6"/>
  <c r="B3" i="6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N3" i="2"/>
  <c r="N5" i="2"/>
  <c r="N11" i="2"/>
  <c r="N15" i="2"/>
  <c r="N19" i="2"/>
  <c r="N23" i="2"/>
  <c r="N24" i="2"/>
  <c r="N25" i="2"/>
  <c r="M2" i="2"/>
  <c r="N2" i="2" s="1"/>
  <c r="M3" i="2"/>
  <c r="M4" i="2"/>
  <c r="N4" i="2" s="1"/>
  <c r="M5" i="2"/>
  <c r="M6" i="2"/>
  <c r="N6" i="2" s="1"/>
  <c r="M7" i="2"/>
  <c r="N7" i="2" s="1"/>
  <c r="M8" i="2"/>
  <c r="N8" i="2" s="1"/>
  <c r="M9" i="2"/>
  <c r="N9" i="2" s="1"/>
  <c r="M10" i="2"/>
  <c r="N10" i="2" s="1"/>
  <c r="M11" i="2"/>
  <c r="M12" i="2"/>
  <c r="N12" i="2" s="1"/>
  <c r="M13" i="2"/>
  <c r="N13" i="2" s="1"/>
  <c r="M14" i="2"/>
  <c r="N14" i="2" s="1"/>
  <c r="M15" i="2"/>
  <c r="M16" i="2"/>
  <c r="N16" i="2" s="1"/>
  <c r="M17" i="2"/>
  <c r="N17" i="2" s="1"/>
  <c r="M18" i="2"/>
  <c r="N18" i="2" s="1"/>
  <c r="M19" i="2"/>
  <c r="M20" i="2"/>
  <c r="N20" i="2" s="1"/>
  <c r="M21" i="2"/>
  <c r="N21" i="2" s="1"/>
  <c r="M22" i="2"/>
  <c r="N22" i="2" s="1"/>
  <c r="M23" i="2"/>
  <c r="M24" i="2"/>
  <c r="M25" i="2"/>
  <c r="M26" i="2"/>
  <c r="N26" i="2" s="1"/>
  <c r="L22" i="2"/>
  <c r="L13" i="2"/>
  <c r="L9" i="2"/>
  <c r="J2" i="2"/>
  <c r="K2" i="2" s="1"/>
  <c r="J3" i="2"/>
  <c r="K3" i="2" s="1"/>
  <c r="L3" i="2" s="1"/>
  <c r="J4" i="2"/>
  <c r="K4" i="2" s="1"/>
  <c r="J5" i="2"/>
  <c r="K5" i="2" s="1"/>
  <c r="J6" i="2"/>
  <c r="K6" i="2" s="1"/>
  <c r="L6" i="2" s="1"/>
  <c r="J7" i="2"/>
  <c r="K7" i="2" s="1"/>
  <c r="L7" i="2" s="1"/>
  <c r="J8" i="2"/>
  <c r="K8" i="2" s="1"/>
  <c r="J9" i="2"/>
  <c r="K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B10" i="6" l="1"/>
  <c r="B9" i="6"/>
  <c r="L2" i="2"/>
  <c r="B17" i="6"/>
  <c r="L4" i="2"/>
  <c r="B20" i="6"/>
  <c r="L5" i="2"/>
  <c r="B19" i="6"/>
  <c r="L8" i="2"/>
  <c r="B18" i="6"/>
  <c r="B11" i="6"/>
  <c r="D3" i="6" a="1"/>
  <c r="B7" i="6"/>
  <c r="B8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<sst xmlns="http://schemas.openxmlformats.org/spreadsheetml/2006/main" count="999" uniqueCount="384">
  <si>
    <t>PractID</t>
  </si>
  <si>
    <t>Name</t>
  </si>
  <si>
    <t>Region</t>
  </si>
  <si>
    <t>Grade</t>
  </si>
  <si>
    <t>WeekendAvailable</t>
  </si>
  <si>
    <t>P039</t>
  </si>
  <si>
    <t>Aarush Lall</t>
  </si>
  <si>
    <t>East</t>
  </si>
  <si>
    <t>Senior Consultant</t>
  </si>
  <si>
    <t>Yes</t>
  </si>
  <si>
    <t>P036</t>
  </si>
  <si>
    <t>Advay Contractor</t>
  </si>
  <si>
    <t>West</t>
  </si>
  <si>
    <t>Analyst</t>
  </si>
  <si>
    <t>No</t>
  </si>
  <si>
    <t>P023</t>
  </si>
  <si>
    <t>Anamika Kanda</t>
  </si>
  <si>
    <t>Consultant</t>
  </si>
  <si>
    <t>P009</t>
  </si>
  <si>
    <t>Arunima Dugal</t>
  </si>
  <si>
    <t>North</t>
  </si>
  <si>
    <t>P001</t>
  </si>
  <si>
    <t>Aryan Maharaj</t>
  </si>
  <si>
    <t>P004</t>
  </si>
  <si>
    <t>Ayushman Chander</t>
  </si>
  <si>
    <t>P016</t>
  </si>
  <si>
    <t>Chakradev Kari</t>
  </si>
  <si>
    <t>P024</t>
  </si>
  <si>
    <t>Daksh Karnik</t>
  </si>
  <si>
    <t>P034</t>
  </si>
  <si>
    <t>Devansh Rajan</t>
  </si>
  <si>
    <t>South</t>
  </si>
  <si>
    <t>P025</t>
  </si>
  <si>
    <t>Diya Rattan</t>
  </si>
  <si>
    <t>P026</t>
  </si>
  <si>
    <t>Dominic Kakar</t>
  </si>
  <si>
    <t>Manager</t>
  </si>
  <si>
    <t>P021</t>
  </si>
  <si>
    <t>Ekbal Garg</t>
  </si>
  <si>
    <t>P017</t>
  </si>
  <si>
    <t>Fariq Kaul</t>
  </si>
  <si>
    <t>P003</t>
  </si>
  <si>
    <t>Gagan Sami</t>
  </si>
  <si>
    <t>P032</t>
  </si>
  <si>
    <t>Gavin Batta</t>
  </si>
  <si>
    <t>P010</t>
  </si>
  <si>
    <t>Gayathri Chaudry</t>
  </si>
  <si>
    <t>P037</t>
  </si>
  <si>
    <t>Harini Choudhury</t>
  </si>
  <si>
    <t>P012</t>
  </si>
  <si>
    <t>Hemangini Lalla</t>
  </si>
  <si>
    <t>P020</t>
  </si>
  <si>
    <t>Isha Kadakia</t>
  </si>
  <si>
    <t>P015</t>
  </si>
  <si>
    <t>Janaki Handa</t>
  </si>
  <si>
    <t>P019</t>
  </si>
  <si>
    <t>Janya Gaba</t>
  </si>
  <si>
    <t>P014</t>
  </si>
  <si>
    <t>Kritika Brar</t>
  </si>
  <si>
    <t>P011</t>
  </si>
  <si>
    <t>Lajita Chatterjee</t>
  </si>
  <si>
    <t>P018</t>
  </si>
  <si>
    <t>Lajita Mall</t>
  </si>
  <si>
    <t>P029</t>
  </si>
  <si>
    <t>Liam Koshy</t>
  </si>
  <si>
    <t>P033</t>
  </si>
  <si>
    <t>Michael Dutta</t>
  </si>
  <si>
    <t>P008</t>
  </si>
  <si>
    <t>Nathaniel Sami</t>
  </si>
  <si>
    <t>P022</t>
  </si>
  <si>
    <t>Nihal Shere</t>
  </si>
  <si>
    <t>P030</t>
  </si>
  <si>
    <t>Priya Rastogi</t>
  </si>
  <si>
    <t>P038</t>
  </si>
  <si>
    <t>Radhika Dugar</t>
  </si>
  <si>
    <t>P006</t>
  </si>
  <si>
    <t>Rushil Saini</t>
  </si>
  <si>
    <t>P007</t>
  </si>
  <si>
    <t>Saumya Mall</t>
  </si>
  <si>
    <t>P027</t>
  </si>
  <si>
    <t>Simon Tata</t>
  </si>
  <si>
    <t>P028</t>
  </si>
  <si>
    <t>Tara Dhar</t>
  </si>
  <si>
    <t>P031</t>
  </si>
  <si>
    <t>Theodore Devi</t>
  </si>
  <si>
    <t>P013</t>
  </si>
  <si>
    <t>Tripti Yadav</t>
  </si>
  <si>
    <t>P002</t>
  </si>
  <si>
    <t>Udant Dewan</t>
  </si>
  <si>
    <t>P035</t>
  </si>
  <si>
    <t>Upadhriti Wadhwa</t>
  </si>
  <si>
    <t>P005</t>
  </si>
  <si>
    <t>Viraj Tiwari</t>
  </si>
  <si>
    <t>P040</t>
  </si>
  <si>
    <t>Yashica Cherian</t>
  </si>
  <si>
    <t>RequestID</t>
  </si>
  <si>
    <t>Client</t>
  </si>
  <si>
    <t>Location</t>
  </si>
  <si>
    <t>EventDate</t>
  </si>
  <si>
    <t>PeopleNeeded</t>
  </si>
  <si>
    <t>DateReceived</t>
  </si>
  <si>
    <t>Status</t>
  </si>
  <si>
    <t>DateClosed</t>
  </si>
  <si>
    <t>StaffAssigned</t>
  </si>
  <si>
    <t>StaffGap</t>
  </si>
  <si>
    <t>StaffingCheck</t>
  </si>
  <si>
    <t>SLADays</t>
  </si>
  <si>
    <t>SLAStatus</t>
  </si>
  <si>
    <t>R001</t>
  </si>
  <si>
    <t>Client Alpha Ltd</t>
  </si>
  <si>
    <t>Delhi</t>
  </si>
  <si>
    <t>Closed</t>
  </si>
  <si>
    <t>R002</t>
  </si>
  <si>
    <t>Client Bravo Ltd</t>
  </si>
  <si>
    <t>Lucknow</t>
  </si>
  <si>
    <t>Scheduled</t>
  </si>
  <si>
    <t>R003</t>
  </si>
  <si>
    <t>Client Charlie Ltd</t>
  </si>
  <si>
    <t>Ahmedabad</t>
  </si>
  <si>
    <t>R004</t>
  </si>
  <si>
    <t>Client Delta Ltd</t>
  </si>
  <si>
    <t>Kolkata</t>
  </si>
  <si>
    <t>R005</t>
  </si>
  <si>
    <t>Client Echo Ltd</t>
  </si>
  <si>
    <t>Patna</t>
  </si>
  <si>
    <t>R006</t>
  </si>
  <si>
    <t>Client Foxtrot Ltd</t>
  </si>
  <si>
    <t>R007</t>
  </si>
  <si>
    <t>Client Golf Ltd</t>
  </si>
  <si>
    <t>Chennai</t>
  </si>
  <si>
    <t>R008</t>
  </si>
  <si>
    <t>Client Hotel Ltd</t>
  </si>
  <si>
    <t>Mumbai</t>
  </si>
  <si>
    <t>Open</t>
  </si>
  <si>
    <t>R009</t>
  </si>
  <si>
    <t>Client India Ltd</t>
  </si>
  <si>
    <t>Pune</t>
  </si>
  <si>
    <t>R010</t>
  </si>
  <si>
    <t>Client Juliet Ltd</t>
  </si>
  <si>
    <t>R011</t>
  </si>
  <si>
    <t>Client Kilo Ltd</t>
  </si>
  <si>
    <t>R012</t>
  </si>
  <si>
    <t>Client Lima Ltd</t>
  </si>
  <si>
    <t>Hyderabad</t>
  </si>
  <si>
    <t>R013</t>
  </si>
  <si>
    <t>Client Mike Ltd</t>
  </si>
  <si>
    <t>Gurugram</t>
  </si>
  <si>
    <t>R014</t>
  </si>
  <si>
    <t>Client November Ltd</t>
  </si>
  <si>
    <t>R015</t>
  </si>
  <si>
    <t>Client Oscar Ltd</t>
  </si>
  <si>
    <t>R016</t>
  </si>
  <si>
    <t>Client Papa Ltd</t>
  </si>
  <si>
    <t>R017</t>
  </si>
  <si>
    <t>Client Quebec Ltd</t>
  </si>
  <si>
    <t>R018</t>
  </si>
  <si>
    <t>Client Romeo Ltd</t>
  </si>
  <si>
    <t>R019</t>
  </si>
  <si>
    <t>Client Sierra Ltd</t>
  </si>
  <si>
    <t>Bengaluru</t>
  </si>
  <si>
    <t>R020</t>
  </si>
  <si>
    <t>Client Tango Ltd</t>
  </si>
  <si>
    <t>R021</t>
  </si>
  <si>
    <t>Client Uniform Ltd</t>
  </si>
  <si>
    <t>R022</t>
  </si>
  <si>
    <t>Client Victor Ltd</t>
  </si>
  <si>
    <t>R023</t>
  </si>
  <si>
    <t>Client Whiskey Ltd</t>
  </si>
  <si>
    <t>R024</t>
  </si>
  <si>
    <t>Client Xray Ltd</t>
  </si>
  <si>
    <t>R025</t>
  </si>
  <si>
    <t>Client Yankee Ltd</t>
  </si>
  <si>
    <t>ScheduleID</t>
  </si>
  <si>
    <t>Date</t>
  </si>
  <si>
    <t>Hours</t>
  </si>
  <si>
    <t>DoubleBooked</t>
  </si>
  <si>
    <t>LeaveClash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</si>
  <si>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</si>
  <si>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</si>
  <si>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</si>
  <si>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</si>
  <si>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</si>
  <si>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</si>
  <si>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</si>
  <si>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</si>
  <si>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</si>
  <si>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</si>
  <si>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</si>
  <si>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</si>
  <si>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</si>
  <si>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</si>
  <si>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</si>
  <si>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</si>
  <si>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</si>
  <si>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</si>
  <si>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</si>
  <si>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</si>
  <si>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</si>
  <si>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</si>
  <si>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</si>
  <si>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</si>
  <si>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</si>
  <si>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</si>
  <si>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</si>
  <si>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</si>
  <si>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</si>
  <si>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</si>
  <si>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</si>
  <si>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</si>
  <si>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</si>
  <si>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</si>
  <si>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</si>
  <si>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</si>
  <si>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</si>
  <si>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</si>
  <si>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</si>
  <si>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</si>
  <si>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</si>
  <si>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</si>
  <si>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</si>
  <si>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</si>
  <si>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</si>
  <si>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</si>
  <si>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</si>
  <si>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</si>
  <si>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</si>
  <si>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</si>
  <si>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</si>
  <si>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</si>
  <si>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</si>
  <si>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</si>
  <si>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</si>
  <si>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</si>
  <si>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</si>
  <si>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</si>
  <si>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</si>
  <si>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</si>
  <si>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</si>
  <si>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</si>
  <si>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</si>
  <si>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</si>
  <si>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</si>
  <si>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</si>
  <si>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</si>
  <si>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</si>
  <si>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</si>
  <si>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</si>
  <si>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</si>
  <si>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</si>
  <si>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</si>
  <si>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</si>
  <si>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</si>
  <si>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</si>
  <si>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</si>
  <si>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LeaveID</t>
  </si>
  <si>
    <t>LeaveStart</t>
  </si>
  <si>
    <t>LeaveEnd</t>
  </si>
  <si>
    <t>LeaveType</t>
  </si>
  <si>
    <t>L001</t>
  </si>
  <si>
    <t>Sick</t>
  </si>
  <si>
    <t>L002</t>
  </si>
  <si>
    <t>Exam</t>
  </si>
  <si>
    <t>L003</t>
  </si>
  <si>
    <t>L004</t>
  </si>
  <si>
    <t>Annual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</si>
  <si>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</si>
  <si>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</si>
  <si>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</si>
  <si>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</si>
  <si>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</si>
  <si>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</si>
  <si>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</si>
  <si>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</si>
  <si>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</si>
  <si>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</si>
  <si>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</si>
  <si>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</si>
  <si>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</si>
  <si>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</si>
  <si>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</si>
  <si>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</si>
  <si>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</si>
  <si>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TrainingID</t>
  </si>
  <si>
    <t>CourseName</t>
  </si>
  <si>
    <t>DueDate</t>
  </si>
  <si>
    <t>CompletionDate</t>
  </si>
  <si>
    <t>ChaseFlag</t>
  </si>
  <si>
    <t>T001</t>
  </si>
  <si>
    <t>Data Protection Basics</t>
  </si>
  <si>
    <t>In Progress</t>
  </si>
  <si>
    <t>T002</t>
  </si>
  <si>
    <t>Code of Conduct</t>
  </si>
  <si>
    <t>Completed</t>
  </si>
  <si>
    <t>T003</t>
  </si>
  <si>
    <t>Anti-Bribery Essentials</t>
  </si>
  <si>
    <t>Not Started</t>
  </si>
  <si>
    <t>T004</t>
  </si>
  <si>
    <t>T005</t>
  </si>
  <si>
    <t>Information Security Awareness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</si>
  <si>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</si>
  <si>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</si>
  <si>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</si>
  <si>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</si>
  <si>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</si>
  <si>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</si>
  <si>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</si>
  <si>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</si>
  <si>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</si>
  <si>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</si>
  <si>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</si>
  <si>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</si>
  <si>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</si>
  <si>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</si>
  <si>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</si>
  <si>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</si>
  <si>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</si>
  <si>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</si>
  <si>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</si>
  <si>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</si>
  <si>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</si>
  <si>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</si>
  <si>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</si>
  <si>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</si>
  <si>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</si>
  <si>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</si>
  <si>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</si>
  <si>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</si>
  <si>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</si>
  <si>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</si>
  <si>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</si>
  <si>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</si>
  <si>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</si>
  <si>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</si>
  <si>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</si>
  <si>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</si>
  <si>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</si>
  <si>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</si>
  <si>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</si>
  <si>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</si>
  <si>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</si>
  <si>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</si>
  <si>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</si>
  <si>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</si>
  <si>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</si>
  <si>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</si>
  <si>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</si>
  <si>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</si>
  <si>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</si>
  <si>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</si>
  <si>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</si>
  <si>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</si>
  <si>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</si>
  <si>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</si>
  <si>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</si>
  <si>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</si>
  <si>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</si>
  <si>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</si>
  <si>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</si>
  <si>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</si>
  <si>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</si>
  <si>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</si>
  <si>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</si>
  <si>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</si>
  <si>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</si>
  <si>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</si>
  <si>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</si>
  <si>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</si>
  <si>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</si>
  <si>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</si>
  <si>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</si>
  <si>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</si>
  <si>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</si>
  <si>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</si>
  <si>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</si>
  <si>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Dashboard</t>
  </si>
  <si>
    <t>ResourceOps Dashboard</t>
  </si>
  <si>
    <t>Total requests</t>
  </si>
  <si>
    <t>Closed within SLA %</t>
  </si>
  <si>
    <t>Understaffed requests</t>
  </si>
  <si>
    <t>Double-booked rows</t>
  </si>
  <si>
    <t>Leave clashes</t>
  </si>
  <si>
    <t>Training overdue</t>
  </si>
  <si>
    <t>Training compliance %</t>
  </si>
  <si>
    <t>Weekend-available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</si>
</sst>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/>
    <xf numFmtId="0" fontId="2" fillId="2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0" applyNumberFormat="1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2" xfId="0" applyNumberFormat="1" applyFont="1" applyFill="1" applyBorder="1" applyAlignment="1">
      <alignment horizontal="center" vertical="top"/>
    </xf>
    <xf numFmtId="0" fontId="4" fillId="0" borderId="0" xfId="0" applyFont="1"/>
    <xf numFmtId="10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  <numFmt numFmtId="0" formatCode="General"/>
    </dxf>
    <dxf>
      <font>
        <name val="Times New Roman"/>
      </font>
    </dxf>
    <dxf>
      <font>
        <name val="Times New Roman"/>
      </font>
    </dxf>
    <dxf>
      <font>
        <name val="Times New Roman"/>
      </font>
      <numFmt numFmtId="164" formatCode="yyyy\-mm\-dd"/>
    </dxf>
    <dxf>
      <font>
        <name val="Times New Roman"/>
      </font>
    </dxf>
    <dxf>
      <font>
        <name val="Times New Roman"/>
      </font>
      <numFmt numFmtId="164" formatCode="yyyy\-mm\-dd"/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Dashboard!$A$4:$A$6</c:f>
              <c:strCache>
                <c:ptCount val="3"/>
                <c:pt idx="0">
                  <c:v>Open</c:v>
                </c:pt>
                <c:pt idx="1">
                  <c:v>Scheduled</c:v>
                </c:pt>
                <c:pt idx="2">
                  <c:v>Closed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2-42CA-9772-2D4DB029A5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5954824"/>
        <c:axId val="1510032904"/>
      </c:barChart>
      <c:catAx>
        <c:axId val="138595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32904"/>
        <c:crosses val="autoZero"/>
        <c:auto val="1"/>
        <c:lblAlgn val="ctr"/>
        <c:lblOffset val="100"/>
        <c:noMultiLvlLbl val="0"/>
      </c:catAx>
      <c:valAx>
        <c:axId val="151003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5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Staffing gap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StaffGap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Dashboard!$A$17:$A$20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0-41D1-9F92-2CA668D06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035592"/>
        <c:axId val="1716038664"/>
      </c:barChart>
      <c:catAx>
        <c:axId val="1716035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38664"/>
        <c:crosses val="autoZero"/>
        <c:auto val="1"/>
        <c:lblAlgn val="ctr"/>
        <c:lblOffset val="100"/>
        <c:noMultiLvlLbl val="0"/>
      </c:catAx>
      <c:valAx>
        <c:axId val="171603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35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3</xdr:row>
      <xdr:rowOff>76200</xdr:rowOff>
    </xdr:from>
    <xdr:to>
      <xdr:col>12</xdr:col>
      <xdr:colOff>542925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59718-F66E-32BB-29C6-D7131F184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20</xdr:row>
      <xdr:rowOff>152400</xdr:rowOff>
    </xdr:from>
    <xdr:to>
      <xdr:col>13</xdr:col>
      <xdr:colOff>0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28979-F153-696C-0C3B-D84E5ED51FF4}"/>
            </a:ext>
            <a:ext uri="{147F2762-F138-4A5C-976F-8EAC2B608ADB}">
              <a16:predDERef xmlns:a16="http://schemas.microsoft.com/office/drawing/2014/main" pred="{EF759718-F66E-32BB-29C6-D7131F184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8435B-6F54-4A15-9866-DF190B98F6DC}" name="Practitioners" displayName="Practitioners" ref="A1:E41" totalsRowShown="0" headerRowDxfId="58" dataDxfId="57" headerRowBorderDxfId="55" tableBorderDxfId="56">
  <autoFilter ref="A1:E41" xr:uid="{0358435B-6F54-4A15-9866-DF190B98F6DC}"/>
  <sortState xmlns:xlrd2="http://schemas.microsoft.com/office/spreadsheetml/2017/richdata2" ref="A2:E41">
    <sortCondition ref="B1:B41"/>
  </sortState>
  <tableColumns count="5">
    <tableColumn id="1" xr3:uid="{4A05794D-D42B-4812-BA87-13F4B03AF7E4}" name="PractID" dataDxfId="54"/>
    <tableColumn id="2" xr3:uid="{FD7C27C6-405C-40BD-8D8B-35E1F9380D82}" name="Name" dataDxfId="53"/>
    <tableColumn id="3" xr3:uid="{5B433A79-AB7E-4833-80D9-AC8FE19E0AA5}" name="Region" dataDxfId="52"/>
    <tableColumn id="4" xr3:uid="{6B05E59F-6D22-4B9C-B8C6-32635166F986}" name="Grade" dataDxfId="51"/>
    <tableColumn id="5" xr3:uid="{F6D978F2-15CD-419F-976E-9ED78F913847}" name="WeekendAvailable" dataDxfId="50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B6FF54-DE29-443D-A72C-5356C1A8DAFF}" name="Requests" displayName="Requests" ref="A1:N26" totalsRowShown="0" headerRowDxfId="49" dataDxfId="48" headerRowBorderDxfId="46" tableBorderDxfId="47">
  <autoFilter ref="A1:N26" xr:uid="{EBB6FF54-DE29-443D-A72C-5356C1A8DAFF}"/>
  <tableColumns count="14">
    <tableColumn id="1" xr3:uid="{5EF99DD0-A3A3-4E6F-A109-B344A181DE97}" name="RequestID" dataDxfId="45"/>
    <tableColumn id="2" xr3:uid="{B842BCD7-A699-4024-A43D-A0243C36D399}" name="Client" dataDxfId="44"/>
    <tableColumn id="3" xr3:uid="{2A2EB240-D89C-42FF-A05A-1F86E8EF8A11}" name="Region" dataDxfId="43"/>
    <tableColumn id="4" xr3:uid="{0E7F0B62-0AD8-4A8D-833C-8A0D463F8549}" name="Location" dataDxfId="42"/>
    <tableColumn id="5" xr3:uid="{829E9848-421B-40C1-9CFA-3CCF8A0D3CD6}" name="EventDate" dataDxfId="41"/>
    <tableColumn id="6" xr3:uid="{A0E2875E-F730-4561-94EC-28040B252E3A}" name="PeopleNeeded" dataDxfId="40"/>
    <tableColumn id="7" xr3:uid="{26AC03D7-E4E2-4CC5-8FDC-2E0888350703}" name="DateReceived" dataDxfId="39"/>
    <tableColumn id="8" xr3:uid="{D7DAAF0A-E430-4975-B69F-A1A2CC37B6BC}" name="Status" dataDxfId="38"/>
    <tableColumn id="9" xr3:uid="{8A99446A-0883-435D-A353-6B445E1A02A6}" name="DateClosed" dataDxfId="37"/>
    <tableColumn id="10" xr3:uid="{53E16F23-D4AC-445C-A87B-3430A5B9F18C}" name="StaffAssigned" dataDxfId="36">
      <calculatedColumnFormula>COUNTIFS(Schedule[RequestID],Requests[[#This Row],[RequestID]])</calculatedColumnFormula>
    </tableColumn>
    <tableColumn id="11" xr3:uid="{1B0CCF77-9B54-48DE-95C8-9C0AC8961375}" name="StaffGap" dataDxfId="35">
      <calculatedColumnFormula>Requests[[#This Row],[PeopleNeeded]]-Requests[[#This Row],[StaffAssigned]]</calculatedColumnFormula>
    </tableColumn>
    <tableColumn id="12" xr3:uid="{90EBEA95-54AE-479C-85D0-FE41A9E64FD5}" name="StaffingCheck" dataDxfId="34">
      <calculatedColumnFormula>IF(Requests[[#This Row],[Status]]="Open","PENDING",IF(Requests[[#This Row],[StaffGap]]&gt;0,"UNDERSTAFFED","OK"))</calculatedColumnFormula>
    </tableColumn>
    <tableColumn id="13" xr3:uid="{6BC366E8-3D11-4A2D-BCA0-2CAC3FF6E882}" name="SLADays" dataDxfId="33">
      <calculatedColumnFormula>NETWORKDAYS(Requests[[#This Row],[DateReceived]],IF(Requests[[#This Row],[DateClosed]]="",TODAY(),Requests[[#This Row],[DateClosed]]))-1</calculatedColumnFormula>
    </tableColumn>
    <tableColumn id="14" xr3:uid="{2063BE79-EB37-4BE5-A3F3-43A849E85489}" name="SLAStatus" dataDxfId="32">
      <calculatedColumnFormula>IF(Requests[[#This Row],[Status]]="Closed",IF(Requests[[#This Row],[SLADays]]&lt;=5,"Met","Breached"),IF(Requests[[#This Row],[Status]]="Open",IF(Requests[[#This Row],[SLADays]]&gt;5,"Overdue","Within SLA"),"Scheduled"))</calculatedColumn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FD3BF-5A67-4C8A-85FF-D9983126C8B2}" name="Schedule" displayName="Schedule" ref="A1:G78" totalsRowShown="0" headerRowDxfId="31" dataDxfId="30" headerRowBorderDxfId="28" tableBorderDxfId="29">
  <autoFilter ref="A1:G78" xr:uid="{1D9FD3BF-5A67-4C8A-85FF-D9983126C8B2}"/>
  <tableColumns count="7">
    <tableColumn id="1" xr3:uid="{25DFE169-AA79-4D3F-BC1A-7B27E002FC97}" name="ScheduleID" dataDxfId="27"/>
    <tableColumn id="2" xr3:uid="{9B620D30-5132-4FF7-A18C-D74DBF189465}" name="RequestID" dataDxfId="26"/>
    <tableColumn id="3" xr3:uid="{1184A1C3-2169-4212-A140-45DFD8CB82E0}" name="PractID" dataDxfId="25"/>
    <tableColumn id="4" xr3:uid="{1BCE6C92-8E9B-4E2A-AC01-D9E42D2752AF}" name="Date" dataDxfId="24"/>
    <tableColumn id="5" xr3:uid="{CB0D6B36-461D-407C-9A68-84BA4FC2FAD3}" name="Hours" dataDxfId="23"/>
    <tableColumn id="6" xr3:uid="{C4866335-DEC0-4FA9-9C46-EB9F50E33807}" name="DoubleBooked" dataDxfId="22">
      <calculatedColumnFormula>IF(COUNTIFS(Schedule[PractID],Schedule[[#This Row],[PractID]],Schedule[Date],Schedule[[#This Row],[Date]])&gt;1,"CONFLICT","OK")</calculatedColumnFormula>
    </tableColumn>
    <tableColumn id="7" xr3:uid="{DE44992F-B6C4-4CAA-ABCC-82D001BA727D}" name="LeaveClash" dataDxfId="21">
      <calculatedColumnFormula>IF(COUNTIFS(Leave[PractID],Schedule[[#This Row],[PractID]],Leave[LeaveStart],"&lt;="&amp;Schedule[[#This Row],[Date]],Leave[LeaveEnd],"&gt;="&amp;Schedule[[#This Row],[Date]])&gt;0,"ON LEAVE","OK")</calculatedColumnFormula>
    </tableColumn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FFFF43-2908-4AAC-9821-C71FBF565BD3}" name="Leave" displayName="Leave" ref="A1:E22" totalsRowShown="0" headerRowDxfId="20" dataDxfId="19" headerRowBorderDxfId="17" tableBorderDxfId="18">
  <autoFilter ref="A1:E22" xr:uid="{EDFFFF43-2908-4AAC-9821-C71FBF565BD3}"/>
  <tableColumns count="5">
    <tableColumn id="1" xr3:uid="{8722BAE0-04F4-4875-80C4-78609CED0522}" name="LeaveID" dataDxfId="16"/>
    <tableColumn id="2" xr3:uid="{CBBC2C74-8AD9-43A5-A4E4-0320CD5B42B4}" name="PractID" dataDxfId="15"/>
    <tableColumn id="3" xr3:uid="{82DA3AC0-8D5C-47A7-8C63-7CC0045AC50D}" name="LeaveStart" dataDxfId="14"/>
    <tableColumn id="4" xr3:uid="{68D6FDF1-0F12-4FFE-9A21-2CEAE4441409}" name="LeaveEnd" dataDxfId="13"/>
    <tableColumn id="5" xr3:uid="{B2AA820A-FF9C-4873-BB87-E854D8EE3B6C}" name="LeaveType" dataDxfId="12"/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9A29F9-03D0-4E74-A497-18392F2A8C0A}" name="Training" displayName="Training" ref="A1:G81" totalsRowShown="0" headerRowDxfId="11" dataDxfId="10" headerRowBorderDxfId="8" tableBorderDxfId="9">
  <autoFilter ref="A1:G81" xr:uid="{679A29F9-03D0-4E74-A497-18392F2A8C0A}"/>
  <tableColumns count="7">
    <tableColumn id="1" xr3:uid="{DEC4463D-A09D-4709-9B29-C32238101F88}" name="TrainingID" dataDxfId="7"/>
    <tableColumn id="2" xr3:uid="{496090DC-6616-4269-A53E-7FBF1E68448E}" name="PractID" dataDxfId="6"/>
    <tableColumn id="3" xr3:uid="{6CFC39E6-8120-41FB-B362-5553F1461667}" name="CourseName" dataDxfId="5"/>
    <tableColumn id="4" xr3:uid="{6534BE74-F5F2-41CB-93D9-2BBDC21F5E0C}" name="DueDate" dataDxfId="4"/>
    <tableColumn id="5" xr3:uid="{D32EDA48-0590-479F-AB28-4A495E964BD8}" name="Status" dataDxfId="3"/>
    <tableColumn id="6" xr3:uid="{89C2886B-BB44-4FF0-85A4-AD2312F37D3F}" name="CompletionDate" dataDxfId="2"/>
    <tableColumn id="7" xr3:uid="{3712046D-9C5A-4D46-B68C-B7A345AB8AAE}" name="ChaseFlag" dataDxfId="1">
      <calculatedColumnFormula>IF(Training[[#This Row],[Status]]="Completed","Done",IF(Training[[#This Row],[DueDate]]&lt;TODAY(),"CHASE - OVERDUE",IF(Training[[#This Row],[DueDate]]-TODAY()&lt;=14,"Due soon","On track")))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1" topLeftCell="A2" activePane="bottomLeft" state="frozen"/>
      <selection pane="bottomLeft" activeCell="D23" sqref="D23"/>
    </sheetView>
  </sheetViews>
  <sheetFormatPr defaultRowHeight="15"/>
  <cols>
    <col min="1" max="4" width="20" customWidth="1"/>
    <col min="5" max="5" width="22.5703125" bestFit="1" customWidth="1"/>
    <col min="11" max="11" width="11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>
      <c r="A4" s="4" t="s">
        <v>15</v>
      </c>
      <c r="B4" s="4" t="s">
        <v>16</v>
      </c>
      <c r="C4" s="4" t="s">
        <v>7</v>
      </c>
      <c r="D4" s="4" t="s">
        <v>17</v>
      </c>
      <c r="E4" s="4" t="s">
        <v>14</v>
      </c>
    </row>
    <row r="5" spans="1:5">
      <c r="A5" s="4" t="s">
        <v>18</v>
      </c>
      <c r="B5" s="4" t="s">
        <v>19</v>
      </c>
      <c r="C5" s="4" t="s">
        <v>20</v>
      </c>
      <c r="D5" s="4" t="s">
        <v>8</v>
      </c>
      <c r="E5" s="4" t="s">
        <v>14</v>
      </c>
    </row>
    <row r="6" spans="1:5">
      <c r="A6" s="6" t="s">
        <v>21</v>
      </c>
      <c r="B6" s="4" t="s">
        <v>22</v>
      </c>
      <c r="C6" s="4" t="s">
        <v>20</v>
      </c>
      <c r="D6" s="4" t="s">
        <v>13</v>
      </c>
      <c r="E6" s="4" t="s">
        <v>9</v>
      </c>
    </row>
    <row r="7" spans="1:5">
      <c r="A7" s="4" t="s">
        <v>23</v>
      </c>
      <c r="B7" s="4" t="s">
        <v>24</v>
      </c>
      <c r="C7" s="4" t="s">
        <v>12</v>
      </c>
      <c r="D7" s="4" t="s">
        <v>13</v>
      </c>
      <c r="E7" s="4" t="s">
        <v>9</v>
      </c>
    </row>
    <row r="8" spans="1:5">
      <c r="A8" s="4" t="s">
        <v>25</v>
      </c>
      <c r="B8" s="4" t="s">
        <v>26</v>
      </c>
      <c r="C8" s="4" t="s">
        <v>12</v>
      </c>
      <c r="D8" s="4" t="s">
        <v>8</v>
      </c>
      <c r="E8" s="4" t="s">
        <v>9</v>
      </c>
    </row>
    <row r="9" spans="1:5">
      <c r="A9" s="4" t="s">
        <v>27</v>
      </c>
      <c r="B9" s="4" t="s">
        <v>28</v>
      </c>
      <c r="C9" s="4" t="s">
        <v>12</v>
      </c>
      <c r="D9" s="4" t="s">
        <v>13</v>
      </c>
      <c r="E9" s="4" t="s">
        <v>14</v>
      </c>
    </row>
    <row r="10" spans="1:5">
      <c r="A10" s="4" t="s">
        <v>29</v>
      </c>
      <c r="B10" s="4" t="s">
        <v>30</v>
      </c>
      <c r="C10" s="4" t="s">
        <v>31</v>
      </c>
      <c r="D10" s="4" t="s">
        <v>17</v>
      </c>
      <c r="E10" s="4" t="s">
        <v>9</v>
      </c>
    </row>
    <row r="11" spans="1:5">
      <c r="A11" s="4" t="s">
        <v>32</v>
      </c>
      <c r="B11" s="4" t="s">
        <v>33</v>
      </c>
      <c r="C11" s="4" t="s">
        <v>20</v>
      </c>
      <c r="D11" s="4" t="s">
        <v>13</v>
      </c>
      <c r="E11" s="4" t="s">
        <v>9</v>
      </c>
    </row>
    <row r="12" spans="1:5">
      <c r="A12" s="4" t="s">
        <v>34</v>
      </c>
      <c r="B12" s="4" t="s">
        <v>35</v>
      </c>
      <c r="C12" s="4" t="s">
        <v>31</v>
      </c>
      <c r="D12" s="4" t="s">
        <v>36</v>
      </c>
      <c r="E12" s="4" t="s">
        <v>9</v>
      </c>
    </row>
    <row r="13" spans="1:5">
      <c r="A13" s="4" t="s">
        <v>37</v>
      </c>
      <c r="B13" s="4" t="s">
        <v>38</v>
      </c>
      <c r="C13" s="4" t="s">
        <v>20</v>
      </c>
      <c r="D13" s="4" t="s">
        <v>8</v>
      </c>
      <c r="E13" s="4" t="s">
        <v>9</v>
      </c>
    </row>
    <row r="14" spans="1:5">
      <c r="A14" s="4" t="s">
        <v>39</v>
      </c>
      <c r="B14" s="4" t="s">
        <v>40</v>
      </c>
      <c r="C14" s="4" t="s">
        <v>20</v>
      </c>
      <c r="D14" s="4" t="s">
        <v>13</v>
      </c>
      <c r="E14" s="4" t="s">
        <v>14</v>
      </c>
    </row>
    <row r="15" spans="1:5">
      <c r="A15" s="4" t="s">
        <v>41</v>
      </c>
      <c r="B15" s="4" t="s">
        <v>42</v>
      </c>
      <c r="C15" s="4" t="s">
        <v>7</v>
      </c>
      <c r="D15" s="4" t="s">
        <v>17</v>
      </c>
      <c r="E15" s="4" t="s">
        <v>14</v>
      </c>
    </row>
    <row r="16" spans="1:5">
      <c r="A16" s="4" t="s">
        <v>43</v>
      </c>
      <c r="B16" s="4" t="s">
        <v>44</v>
      </c>
      <c r="C16" s="4" t="s">
        <v>12</v>
      </c>
      <c r="D16" s="4" t="s">
        <v>17</v>
      </c>
      <c r="E16" s="4" t="s">
        <v>9</v>
      </c>
    </row>
    <row r="17" spans="1:5">
      <c r="A17" s="4" t="s">
        <v>45</v>
      </c>
      <c r="B17" s="4" t="s">
        <v>46</v>
      </c>
      <c r="C17" s="4" t="s">
        <v>31</v>
      </c>
      <c r="D17" s="4" t="s">
        <v>13</v>
      </c>
      <c r="E17" s="4" t="s">
        <v>14</v>
      </c>
    </row>
    <row r="18" spans="1:5">
      <c r="A18" s="4" t="s">
        <v>47</v>
      </c>
      <c r="B18" s="4" t="s">
        <v>48</v>
      </c>
      <c r="C18" s="4" t="s">
        <v>20</v>
      </c>
      <c r="D18" s="4" t="s">
        <v>36</v>
      </c>
      <c r="E18" s="4" t="s">
        <v>9</v>
      </c>
    </row>
    <row r="19" spans="1:5">
      <c r="A19" s="4" t="s">
        <v>49</v>
      </c>
      <c r="B19" s="4" t="s">
        <v>50</v>
      </c>
      <c r="C19" s="4" t="s">
        <v>12</v>
      </c>
      <c r="D19" s="4" t="s">
        <v>8</v>
      </c>
      <c r="E19" s="4" t="s">
        <v>9</v>
      </c>
    </row>
    <row r="20" spans="1:5">
      <c r="A20" s="4" t="s">
        <v>51</v>
      </c>
      <c r="B20" s="4" t="s">
        <v>52</v>
      </c>
      <c r="C20" s="4" t="s">
        <v>12</v>
      </c>
      <c r="D20" s="4" t="s">
        <v>8</v>
      </c>
      <c r="E20" s="4" t="s">
        <v>14</v>
      </c>
    </row>
    <row r="21" spans="1:5">
      <c r="A21" s="4" t="s">
        <v>53</v>
      </c>
      <c r="B21" s="4" t="s">
        <v>54</v>
      </c>
      <c r="C21" s="4" t="s">
        <v>7</v>
      </c>
      <c r="D21" s="4" t="s">
        <v>36</v>
      </c>
      <c r="E21" s="4" t="s">
        <v>9</v>
      </c>
    </row>
    <row r="22" spans="1:5">
      <c r="A22" s="4" t="s">
        <v>55</v>
      </c>
      <c r="B22" s="4" t="s">
        <v>56</v>
      </c>
      <c r="C22" s="4" t="s">
        <v>7</v>
      </c>
      <c r="D22" s="4" t="s">
        <v>36</v>
      </c>
      <c r="E22" s="4" t="s">
        <v>9</v>
      </c>
    </row>
    <row r="23" spans="1:5">
      <c r="A23" s="4" t="s">
        <v>57</v>
      </c>
      <c r="B23" s="4" t="s">
        <v>58</v>
      </c>
      <c r="C23" s="4" t="s">
        <v>31</v>
      </c>
      <c r="D23" s="4" t="s">
        <v>8</v>
      </c>
      <c r="E23" s="4" t="s">
        <v>9</v>
      </c>
    </row>
    <row r="24" spans="1:5">
      <c r="A24" s="4" t="s">
        <v>59</v>
      </c>
      <c r="B24" s="4" t="s">
        <v>60</v>
      </c>
      <c r="C24" s="4" t="s">
        <v>7</v>
      </c>
      <c r="D24" s="4" t="s">
        <v>17</v>
      </c>
      <c r="E24" s="4" t="s">
        <v>9</v>
      </c>
    </row>
    <row r="25" spans="1:5">
      <c r="A25" s="4" t="s">
        <v>61</v>
      </c>
      <c r="B25" s="4" t="s">
        <v>62</v>
      </c>
      <c r="C25" s="4" t="s">
        <v>31</v>
      </c>
      <c r="D25" s="4" t="s">
        <v>13</v>
      </c>
      <c r="E25" s="4" t="s">
        <v>14</v>
      </c>
    </row>
    <row r="26" spans="1:5">
      <c r="A26" s="4" t="s">
        <v>63</v>
      </c>
      <c r="B26" s="4" t="s">
        <v>64</v>
      </c>
      <c r="C26" s="4" t="s">
        <v>20</v>
      </c>
      <c r="D26" s="4" t="s">
        <v>8</v>
      </c>
      <c r="E26" s="4" t="s">
        <v>14</v>
      </c>
    </row>
    <row r="27" spans="1:5">
      <c r="A27" s="4" t="s">
        <v>65</v>
      </c>
      <c r="B27" s="4" t="s">
        <v>66</v>
      </c>
      <c r="C27" s="4" t="s">
        <v>20</v>
      </c>
      <c r="D27" s="4" t="s">
        <v>36</v>
      </c>
      <c r="E27" s="4" t="s">
        <v>9</v>
      </c>
    </row>
    <row r="28" spans="1:5">
      <c r="A28" s="4" t="s">
        <v>67</v>
      </c>
      <c r="B28" s="4" t="s">
        <v>68</v>
      </c>
      <c r="C28" s="4" t="s">
        <v>12</v>
      </c>
      <c r="D28" s="4" t="s">
        <v>36</v>
      </c>
      <c r="E28" s="4" t="s">
        <v>9</v>
      </c>
    </row>
    <row r="29" spans="1:5">
      <c r="A29" s="4" t="s">
        <v>69</v>
      </c>
      <c r="B29" s="4" t="s">
        <v>70</v>
      </c>
      <c r="C29" s="4" t="s">
        <v>31</v>
      </c>
      <c r="D29" s="4" t="s">
        <v>13</v>
      </c>
      <c r="E29" s="4" t="s">
        <v>9</v>
      </c>
    </row>
    <row r="30" spans="1:5">
      <c r="A30" s="4" t="s">
        <v>71</v>
      </c>
      <c r="B30" s="4" t="s">
        <v>72</v>
      </c>
      <c r="C30" s="4" t="s">
        <v>31</v>
      </c>
      <c r="D30" s="4" t="s">
        <v>13</v>
      </c>
      <c r="E30" s="4" t="s">
        <v>9</v>
      </c>
    </row>
    <row r="31" spans="1:5">
      <c r="A31" s="4" t="s">
        <v>73</v>
      </c>
      <c r="B31" s="4" t="s">
        <v>74</v>
      </c>
      <c r="C31" s="4" t="s">
        <v>31</v>
      </c>
      <c r="D31" s="4" t="s">
        <v>17</v>
      </c>
      <c r="E31" s="4" t="s">
        <v>14</v>
      </c>
    </row>
    <row r="32" spans="1:5">
      <c r="A32" s="4" t="s">
        <v>75</v>
      </c>
      <c r="B32" s="4" t="s">
        <v>76</v>
      </c>
      <c r="C32" s="4" t="s">
        <v>31</v>
      </c>
      <c r="D32" s="4" t="s">
        <v>17</v>
      </c>
      <c r="E32" s="4" t="s">
        <v>9</v>
      </c>
    </row>
    <row r="33" spans="1:5">
      <c r="A33" s="4" t="s">
        <v>77</v>
      </c>
      <c r="B33" s="4" t="s">
        <v>78</v>
      </c>
      <c r="C33" s="4" t="s">
        <v>7</v>
      </c>
      <c r="D33" s="4" t="s">
        <v>13</v>
      </c>
      <c r="E33" s="4" t="s">
        <v>9</v>
      </c>
    </row>
    <row r="34" spans="1:5">
      <c r="A34" s="4" t="s">
        <v>79</v>
      </c>
      <c r="B34" s="4" t="s">
        <v>80</v>
      </c>
      <c r="C34" s="4" t="s">
        <v>7</v>
      </c>
      <c r="D34" s="4" t="s">
        <v>8</v>
      </c>
      <c r="E34" s="4" t="s">
        <v>9</v>
      </c>
    </row>
    <row r="35" spans="1:5">
      <c r="A35" s="4" t="s">
        <v>81</v>
      </c>
      <c r="B35" s="4" t="s">
        <v>82</v>
      </c>
      <c r="C35" s="4" t="s">
        <v>12</v>
      </c>
      <c r="D35" s="4" t="s">
        <v>8</v>
      </c>
      <c r="E35" s="4" t="s">
        <v>9</v>
      </c>
    </row>
    <row r="36" spans="1:5">
      <c r="A36" s="4" t="s">
        <v>83</v>
      </c>
      <c r="B36" s="4" t="s">
        <v>84</v>
      </c>
      <c r="C36" s="4" t="s">
        <v>7</v>
      </c>
      <c r="D36" s="4" t="s">
        <v>17</v>
      </c>
      <c r="E36" s="4" t="s">
        <v>9</v>
      </c>
    </row>
    <row r="37" spans="1:5">
      <c r="A37" s="4" t="s">
        <v>85</v>
      </c>
      <c r="B37" s="4" t="s">
        <v>86</v>
      </c>
      <c r="C37" s="4" t="s">
        <v>20</v>
      </c>
      <c r="D37" s="4" t="s">
        <v>17</v>
      </c>
      <c r="E37" s="4" t="s">
        <v>14</v>
      </c>
    </row>
    <row r="38" spans="1:5">
      <c r="A38" s="4" t="s">
        <v>87</v>
      </c>
      <c r="B38" s="4" t="s">
        <v>88</v>
      </c>
      <c r="C38" s="4" t="s">
        <v>31</v>
      </c>
      <c r="D38" s="4" t="s">
        <v>8</v>
      </c>
      <c r="E38" s="4" t="s">
        <v>9</v>
      </c>
    </row>
    <row r="39" spans="1:5">
      <c r="A39" s="4" t="s">
        <v>89</v>
      </c>
      <c r="B39" s="4" t="s">
        <v>90</v>
      </c>
      <c r="C39" s="4" t="s">
        <v>7</v>
      </c>
      <c r="D39" s="4" t="s">
        <v>13</v>
      </c>
      <c r="E39" s="4" t="s">
        <v>9</v>
      </c>
    </row>
    <row r="40" spans="1:5">
      <c r="A40" s="4" t="s">
        <v>91</v>
      </c>
      <c r="B40" s="4" t="s">
        <v>92</v>
      </c>
      <c r="C40" s="4" t="s">
        <v>20</v>
      </c>
      <c r="D40" s="4" t="s">
        <v>13</v>
      </c>
      <c r="E40" s="4" t="s">
        <v>9</v>
      </c>
    </row>
    <row r="41" spans="1:5">
      <c r="A41" s="4" t="s">
        <v>93</v>
      </c>
      <c r="B41" s="4" t="s">
        <v>94</v>
      </c>
      <c r="C41" s="4" t="s">
        <v>12</v>
      </c>
      <c r="D41" s="4" t="s">
        <v>36</v>
      </c>
      <c r="E41" s="4" t="s">
        <v>9</v>
      </c>
    </row>
  </sheetData>
  <dataValidations count="3">
    <dataValidation type="list" allowBlank="1" showInputMessage="1" showErrorMessage="1" sqref="C2:C41" xr:uid="{8BB477B4-EBD4-4703-AE58-EBFB4326A395}">
      <formula1>"North,South,East,West"</formula1>
    </dataValidation>
    <dataValidation type="list" allowBlank="1" showInputMessage="1" showErrorMessage="1" sqref="D2:D41" xr:uid="{1803C020-93EB-4134-B909-3D07A0C779D8}">
      <formula1>"Analyst,Consultant,Senior Consultant,Manager"</formula1>
    </dataValidation>
    <dataValidation type="list" allowBlank="1" showInputMessage="1" showErrorMessage="1" sqref="E2:E41" xr:uid="{B775FB88-0399-46F9-8D18-ADED9D2A209D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/>
  <cols>
    <col min="1" max="9" width="20" customWidth="1"/>
    <col min="10" max="10" width="20.140625" customWidth="1"/>
    <col min="11" max="11" width="22" customWidth="1"/>
    <col min="12" max="12" width="18.5703125" customWidth="1"/>
    <col min="13" max="13" width="26.140625" customWidth="1"/>
    <col min="14" max="14" width="18.7109375" customWidth="1"/>
  </cols>
  <sheetData>
    <row r="1" spans="1:14">
      <c r="A1" s="1" t="s">
        <v>95</v>
      </c>
      <c r="B1" s="1" t="s">
        <v>96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0" t="s">
        <v>103</v>
      </c>
      <c r="K1" s="10" t="s">
        <v>104</v>
      </c>
      <c r="L1" s="10" t="s">
        <v>105</v>
      </c>
      <c r="M1" s="11" t="s">
        <v>106</v>
      </c>
      <c r="N1" s="10" t="s">
        <v>107</v>
      </c>
    </row>
    <row r="2" spans="1:14">
      <c r="A2" s="4" t="s">
        <v>108</v>
      </c>
      <c r="B2" s="4" t="s">
        <v>109</v>
      </c>
      <c r="C2" s="4" t="s">
        <v>20</v>
      </c>
      <c r="D2" s="4" t="s">
        <v>110</v>
      </c>
      <c r="E2" s="5">
        <v>46291</v>
      </c>
      <c r="F2" s="4">
        <v>6</v>
      </c>
      <c r="G2" s="5">
        <v>46274</v>
      </c>
      <c r="H2" s="4" t="s">
        <v>111</v>
      </c>
      <c r="I2" s="5">
        <v>46277</v>
      </c>
      <c r="J2" s="4">
        <f>COUNTIFS(Schedule[RequestID],Requests[[#This Row],[RequestID]])</f>
        <v>5</v>
      </c>
      <c r="K2" s="4">
        <f>Requests[[#This Row],[PeopleNeeded]]-Requests[[#This Row],[StaffAssigned]]</f>
        <v>1</v>
      </c>
      <c r="L2" s="4" t="str">
        <f>IF(Requests[[#This Row],[Status]]="Open","PENDING",IF(Requests[[#This Row],[StaffGap]]&gt;0,"UNDERSTAFFED","OK"))</f>
        <v>UNDERSTAFFED</v>
      </c>
      <c r="M2" s="6">
        <f ca="1">NETWORKDAYS(Requests[[#This Row],[DateReceived]],IF(Requests[[#This Row],[DateClosed]]="",TODAY(),Requests[[#This Row],[DateClosed]]))-1</f>
        <v>2</v>
      </c>
      <c r="N2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3" spans="1:14">
      <c r="A3" s="4" t="s">
        <v>112</v>
      </c>
      <c r="B3" s="4" t="s">
        <v>113</v>
      </c>
      <c r="C3" s="4" t="s">
        <v>20</v>
      </c>
      <c r="D3" s="4" t="s">
        <v>114</v>
      </c>
      <c r="E3" s="5">
        <v>46361</v>
      </c>
      <c r="F3" s="4">
        <v>3</v>
      </c>
      <c r="G3" s="5">
        <v>46301</v>
      </c>
      <c r="H3" s="4" t="s">
        <v>115</v>
      </c>
      <c r="I3" s="4"/>
      <c r="J3" s="4">
        <f>COUNTIFS(Schedule[RequestID],Requests[[#This Row],[RequestID]])</f>
        <v>3</v>
      </c>
      <c r="K3" s="4">
        <f>Requests[[#This Row],[PeopleNeeded]]-Requests[[#This Row],[StaffAssigned]]</f>
        <v>0</v>
      </c>
      <c r="L3" s="4" t="str">
        <f>IF(Requests[[#This Row],[Status]]="Open","PENDING",IF(Requests[[#This Row],[StaffGap]]&gt;0,"UNDERSTAFFED","OK"))</f>
        <v>OK</v>
      </c>
      <c r="M3" s="6">
        <f ca="1">NETWORKDAYS(Requests[[#This Row],[DateReceived]],IF(Requests[[#This Row],[DateClosed]]="",TODAY(),Requests[[#This Row],[DateClosed]]))-1</f>
        <v>1</v>
      </c>
      <c r="N3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4" spans="1:14">
      <c r="A4" s="4" t="s">
        <v>116</v>
      </c>
      <c r="B4" s="4" t="s">
        <v>117</v>
      </c>
      <c r="C4" s="4" t="s">
        <v>12</v>
      </c>
      <c r="D4" s="4" t="s">
        <v>118</v>
      </c>
      <c r="E4" s="5">
        <v>46298</v>
      </c>
      <c r="F4" s="4">
        <v>4</v>
      </c>
      <c r="G4" s="5">
        <v>46282</v>
      </c>
      <c r="H4" s="4" t="s">
        <v>111</v>
      </c>
      <c r="I4" s="5">
        <v>46287</v>
      </c>
      <c r="J4" s="4">
        <f>COUNTIFS(Schedule[RequestID],Requests[[#This Row],[RequestID]])</f>
        <v>4</v>
      </c>
      <c r="K4" s="4">
        <f>Requests[[#This Row],[PeopleNeeded]]-Requests[[#This Row],[StaffAssigned]]</f>
        <v>0</v>
      </c>
      <c r="L4" s="4" t="str">
        <f>IF(Requests[[#This Row],[Status]]="Open","PENDING",IF(Requests[[#This Row],[StaffGap]]&gt;0,"UNDERSTAFFED","OK"))</f>
        <v>OK</v>
      </c>
      <c r="M4" s="6">
        <f ca="1">NETWORKDAYS(Requests[[#This Row],[DateReceived]],IF(Requests[[#This Row],[DateClosed]]="",TODAY(),Requests[[#This Row],[DateClosed]]))-1</f>
        <v>3</v>
      </c>
      <c r="N4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5" spans="1:14">
      <c r="A5" s="4" t="s">
        <v>119</v>
      </c>
      <c r="B5" s="4" t="s">
        <v>120</v>
      </c>
      <c r="C5" s="4" t="s">
        <v>7</v>
      </c>
      <c r="D5" s="4" t="s">
        <v>121</v>
      </c>
      <c r="E5" s="5">
        <v>46312</v>
      </c>
      <c r="F5" s="4">
        <v>3</v>
      </c>
      <c r="G5" s="5">
        <v>46288</v>
      </c>
      <c r="H5" s="4" t="s">
        <v>115</v>
      </c>
      <c r="I5" s="4"/>
      <c r="J5" s="4">
        <f>COUNTIFS(Schedule[RequestID],Requests[[#This Row],[RequestID]])</f>
        <v>3</v>
      </c>
      <c r="K5" s="4">
        <f>Requests[[#This Row],[PeopleNeeded]]-Requests[[#This Row],[StaffAssigned]]</f>
        <v>0</v>
      </c>
      <c r="L5" s="4" t="str">
        <f>IF(Requests[[#This Row],[Status]]="Open","PENDING",IF(Requests[[#This Row],[StaffGap]]&gt;0,"UNDERSTAFFED","OK"))</f>
        <v>OK</v>
      </c>
      <c r="M5" s="6">
        <f ca="1">NETWORKDAYS(Requests[[#This Row],[DateReceived]],IF(Requests[[#This Row],[DateClosed]]="",TODAY(),Requests[[#This Row],[DateClosed]]))-1</f>
        <v>10</v>
      </c>
      <c r="N5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6" spans="1:14">
      <c r="A6" s="4" t="s">
        <v>122</v>
      </c>
      <c r="B6" s="4" t="s">
        <v>123</v>
      </c>
      <c r="C6" s="4" t="s">
        <v>7</v>
      </c>
      <c r="D6" s="4" t="s">
        <v>124</v>
      </c>
      <c r="E6" s="5">
        <v>46277</v>
      </c>
      <c r="F6" s="4">
        <v>3</v>
      </c>
      <c r="G6" s="5">
        <v>46267</v>
      </c>
      <c r="H6" s="4" t="s">
        <v>111</v>
      </c>
      <c r="I6" s="5">
        <v>46272</v>
      </c>
      <c r="J6" s="4">
        <f>COUNTIFS(Schedule[RequestID],Requests[[#This Row],[RequestID]])</f>
        <v>3</v>
      </c>
      <c r="K6" s="4">
        <f>Requests[[#This Row],[PeopleNeeded]]-Requests[[#This Row],[StaffAssigned]]</f>
        <v>0</v>
      </c>
      <c r="L6" s="4" t="str">
        <f>IF(Requests[[#This Row],[Status]]="Open","PENDING",IF(Requests[[#This Row],[StaffGap]]&gt;0,"UNDERSTAFFED","OK"))</f>
        <v>OK</v>
      </c>
      <c r="M6" s="6">
        <f ca="1">NETWORKDAYS(Requests[[#This Row],[DateReceived]],IF(Requests[[#This Row],[DateClosed]]="",TODAY(),Requests[[#This Row],[DateClosed]]))-1</f>
        <v>3</v>
      </c>
      <c r="N6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7" spans="1:14">
      <c r="A7" s="4" t="s">
        <v>125</v>
      </c>
      <c r="B7" s="4" t="s">
        <v>126</v>
      </c>
      <c r="C7" s="4" t="s">
        <v>20</v>
      </c>
      <c r="D7" s="4" t="s">
        <v>110</v>
      </c>
      <c r="E7" s="5">
        <v>46270</v>
      </c>
      <c r="F7" s="4">
        <v>4</v>
      </c>
      <c r="G7" s="5">
        <v>46259</v>
      </c>
      <c r="H7" s="4" t="s">
        <v>111</v>
      </c>
      <c r="I7" s="5">
        <v>46262</v>
      </c>
      <c r="J7" s="4">
        <f>COUNTIFS(Schedule[RequestID],Requests[[#This Row],[RequestID]])</f>
        <v>4</v>
      </c>
      <c r="K7" s="4">
        <f>Requests[[#This Row],[PeopleNeeded]]-Requests[[#This Row],[StaffAssigned]]</f>
        <v>0</v>
      </c>
      <c r="L7" s="4" t="str">
        <f>IF(Requests[[#This Row],[Status]]="Open","PENDING",IF(Requests[[#This Row],[StaffGap]]&gt;0,"UNDERSTAFFED","OK"))</f>
        <v>OK</v>
      </c>
      <c r="M7" s="6">
        <f ca="1">NETWORKDAYS(Requests[[#This Row],[DateReceived]],IF(Requests[[#This Row],[DateClosed]]="",TODAY(),Requests[[#This Row],[DateClosed]]))-1</f>
        <v>3</v>
      </c>
      <c r="N7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8" spans="1:14">
      <c r="A8" s="4" t="s">
        <v>127</v>
      </c>
      <c r="B8" s="4" t="s">
        <v>128</v>
      </c>
      <c r="C8" s="4" t="s">
        <v>31</v>
      </c>
      <c r="D8" s="4" t="s">
        <v>129</v>
      </c>
      <c r="E8" s="5">
        <v>46277</v>
      </c>
      <c r="F8" s="4">
        <v>3</v>
      </c>
      <c r="G8" s="5">
        <v>46259</v>
      </c>
      <c r="H8" s="4" t="s">
        <v>111</v>
      </c>
      <c r="I8" s="5">
        <v>46268</v>
      </c>
      <c r="J8" s="4">
        <f>COUNTIFS(Schedule[RequestID],Requests[[#This Row],[RequestID]])</f>
        <v>3</v>
      </c>
      <c r="K8" s="4">
        <f>Requests[[#This Row],[PeopleNeeded]]-Requests[[#This Row],[StaffAssigned]]</f>
        <v>0</v>
      </c>
      <c r="L8" s="4" t="str">
        <f>IF(Requests[[#This Row],[Status]]="Open","PENDING",IF(Requests[[#This Row],[StaffGap]]&gt;0,"UNDERSTAFFED","OK"))</f>
        <v>OK</v>
      </c>
      <c r="M8" s="6">
        <f ca="1">NETWORKDAYS(Requests[[#This Row],[DateReceived]],IF(Requests[[#This Row],[DateClosed]]="",TODAY(),Requests[[#This Row],[DateClosed]]))-1</f>
        <v>7</v>
      </c>
      <c r="N8" s="6" t="str">
        <f ca="1">IF(Requests[[#This Row],[Status]]="Closed",IF(Requests[[#This Row],[SLADays]]&lt;=5,"Met","Breached"),IF(Requests[[#This Row],[Status]]="Open",IF(Requests[[#This Row],[SLADays]]&gt;5,"Overdue","Within SLA"),"Scheduled"))</f>
        <v>Breached</v>
      </c>
    </row>
    <row r="9" spans="1:14">
      <c r="A9" s="4" t="s">
        <v>130</v>
      </c>
      <c r="B9" s="4" t="s">
        <v>131</v>
      </c>
      <c r="C9" s="4" t="s">
        <v>12</v>
      </c>
      <c r="D9" s="4" t="s">
        <v>132</v>
      </c>
      <c r="E9" s="5">
        <v>46347</v>
      </c>
      <c r="F9" s="4">
        <v>2</v>
      </c>
      <c r="G9" s="5">
        <v>46299</v>
      </c>
      <c r="H9" s="4" t="s">
        <v>133</v>
      </c>
      <c r="I9" s="4"/>
      <c r="J9" s="4">
        <f>COUNTIFS(Schedule[RequestID],Requests[[#This Row],[RequestID]])</f>
        <v>0</v>
      </c>
      <c r="K9" s="4">
        <f>Requests[[#This Row],[PeopleNeeded]]-Requests[[#This Row],[StaffAssigned]]</f>
        <v>2</v>
      </c>
      <c r="L9" s="4" t="str">
        <f>IF(Requests[[#This Row],[Status]]="Open","PENDING",IF(Requests[[#This Row],[StaffGap]]&gt;0,"UNDERSTAFFED","OK"))</f>
        <v>PENDING</v>
      </c>
      <c r="M9" s="6">
        <f ca="1">NETWORKDAYS(Requests[[#This Row],[DateReceived]],IF(Requests[[#This Row],[DateClosed]]="",TODAY(),Requests[[#This Row],[DateClosed]]))-1</f>
        <v>2</v>
      </c>
      <c r="N9" s="6" t="str">
        <f ca="1">IF(Requests[[#This Row],[Status]]="Closed",IF(Requests[[#This Row],[SLADays]]&lt;=5,"Met","Breached"),IF(Requests[[#This Row],[Status]]="Open",IF(Requests[[#This Row],[SLADays]]&gt;5,"Overdue","Within SLA"),"Scheduled"))</f>
        <v>Within SLA</v>
      </c>
    </row>
    <row r="10" spans="1:14">
      <c r="A10" s="4" t="s">
        <v>134</v>
      </c>
      <c r="B10" s="4" t="s">
        <v>135</v>
      </c>
      <c r="C10" s="4" t="s">
        <v>12</v>
      </c>
      <c r="D10" s="4" t="s">
        <v>136</v>
      </c>
      <c r="E10" s="5">
        <v>46277</v>
      </c>
      <c r="F10" s="4">
        <v>2</v>
      </c>
      <c r="G10" s="5">
        <v>46256</v>
      </c>
      <c r="H10" s="4" t="s">
        <v>111</v>
      </c>
      <c r="I10" s="5">
        <v>46264</v>
      </c>
      <c r="J10" s="4">
        <f>COUNTIFS(Schedule[RequestID],Requests[[#This Row],[RequestID]])</f>
        <v>2</v>
      </c>
      <c r="K10" s="4">
        <f>Requests[[#This Row],[PeopleNeeded]]-Requests[[#This Row],[StaffAssigned]]</f>
        <v>0</v>
      </c>
      <c r="L10" s="4" t="str">
        <f>IF(Requests[[#This Row],[Status]]="Open","PENDING",IF(Requests[[#This Row],[StaffGap]]&gt;0,"UNDERSTAFFED","OK"))</f>
        <v>OK</v>
      </c>
      <c r="M10" s="6">
        <f ca="1">NETWORKDAYS(Requests[[#This Row],[DateReceived]],IF(Requests[[#This Row],[DateClosed]]="",TODAY(),Requests[[#This Row],[DateClosed]]))-1</f>
        <v>4</v>
      </c>
      <c r="N10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1" spans="1:14">
      <c r="A11" s="4" t="s">
        <v>137</v>
      </c>
      <c r="B11" s="4" t="s">
        <v>138</v>
      </c>
      <c r="C11" s="4" t="s">
        <v>20</v>
      </c>
      <c r="D11" s="4" t="s">
        <v>110</v>
      </c>
      <c r="E11" s="5">
        <v>46340</v>
      </c>
      <c r="F11" s="4">
        <v>3</v>
      </c>
      <c r="G11" s="5">
        <v>46299</v>
      </c>
      <c r="H11" s="4" t="s">
        <v>115</v>
      </c>
      <c r="I11" s="4"/>
      <c r="J11" s="4">
        <f>COUNTIFS(Schedule[RequestID],Requests[[#This Row],[RequestID]])</f>
        <v>3</v>
      </c>
      <c r="K11" s="4">
        <f>Requests[[#This Row],[PeopleNeeded]]-Requests[[#This Row],[StaffAssigned]]</f>
        <v>0</v>
      </c>
      <c r="L11" s="4" t="str">
        <f>IF(Requests[[#This Row],[Status]]="Open","PENDING",IF(Requests[[#This Row],[StaffGap]]&gt;0,"UNDERSTAFFED","OK"))</f>
        <v>OK</v>
      </c>
      <c r="M11" s="6">
        <f ca="1">NETWORKDAYS(Requests[[#This Row],[DateReceived]],IF(Requests[[#This Row],[DateClosed]]="",TODAY(),Requests[[#This Row],[DateClosed]]))-1</f>
        <v>2</v>
      </c>
      <c r="N11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12" spans="1:14">
      <c r="A12" s="4" t="s">
        <v>139</v>
      </c>
      <c r="B12" s="4" t="s">
        <v>140</v>
      </c>
      <c r="C12" s="4" t="s">
        <v>31</v>
      </c>
      <c r="D12" s="4" t="s">
        <v>129</v>
      </c>
      <c r="E12" s="5">
        <v>46291</v>
      </c>
      <c r="F12" s="4">
        <v>4</v>
      </c>
      <c r="G12" s="5">
        <v>46267</v>
      </c>
      <c r="H12" s="4" t="s">
        <v>111</v>
      </c>
      <c r="I12" s="5">
        <v>46275</v>
      </c>
      <c r="J12" s="4">
        <f>COUNTIFS(Schedule[RequestID],Requests[[#This Row],[RequestID]])</f>
        <v>4</v>
      </c>
      <c r="K12" s="4">
        <f>Requests[[#This Row],[PeopleNeeded]]-Requests[[#This Row],[StaffAssigned]]</f>
        <v>0</v>
      </c>
      <c r="L12" s="4" t="str">
        <f>IF(Requests[[#This Row],[Status]]="Open","PENDING",IF(Requests[[#This Row],[StaffGap]]&gt;0,"UNDERSTAFFED","OK"))</f>
        <v>OK</v>
      </c>
      <c r="M12" s="6">
        <f ca="1">NETWORKDAYS(Requests[[#This Row],[DateReceived]],IF(Requests[[#This Row],[DateClosed]]="",TODAY(),Requests[[#This Row],[DateClosed]]))-1</f>
        <v>6</v>
      </c>
      <c r="N12" s="6" t="str">
        <f ca="1">IF(Requests[[#This Row],[Status]]="Closed",IF(Requests[[#This Row],[SLADays]]&lt;=5,"Met","Breached"),IF(Requests[[#This Row],[Status]]="Open",IF(Requests[[#This Row],[SLADays]]&gt;5,"Overdue","Within SLA"),"Scheduled"))</f>
        <v>Breached</v>
      </c>
    </row>
    <row r="13" spans="1:14">
      <c r="A13" s="4" t="s">
        <v>141</v>
      </c>
      <c r="B13" s="4" t="s">
        <v>142</v>
      </c>
      <c r="C13" s="4" t="s">
        <v>31</v>
      </c>
      <c r="D13" s="4" t="s">
        <v>143</v>
      </c>
      <c r="E13" s="5">
        <v>46319</v>
      </c>
      <c r="F13" s="4">
        <v>2</v>
      </c>
      <c r="G13" s="5">
        <v>46299</v>
      </c>
      <c r="H13" s="4" t="s">
        <v>133</v>
      </c>
      <c r="I13" s="4"/>
      <c r="J13" s="4">
        <f>COUNTIFS(Schedule[RequestID],Requests[[#This Row],[RequestID]])</f>
        <v>0</v>
      </c>
      <c r="K13" s="4">
        <f>Requests[[#This Row],[PeopleNeeded]]-Requests[[#This Row],[StaffAssigned]]</f>
        <v>2</v>
      </c>
      <c r="L13" s="4" t="str">
        <f>IF(Requests[[#This Row],[Status]]="Open","PENDING",IF(Requests[[#This Row],[StaffGap]]&gt;0,"UNDERSTAFFED","OK"))</f>
        <v>PENDING</v>
      </c>
      <c r="M13" s="6">
        <f ca="1">NETWORKDAYS(Requests[[#This Row],[DateReceived]],IF(Requests[[#This Row],[DateClosed]]="",TODAY(),Requests[[#This Row],[DateClosed]]))-1</f>
        <v>2</v>
      </c>
      <c r="N13" s="6" t="str">
        <f ca="1">IF(Requests[[#This Row],[Status]]="Closed",IF(Requests[[#This Row],[SLADays]]&lt;=5,"Met","Breached"),IF(Requests[[#This Row],[Status]]="Open",IF(Requests[[#This Row],[SLADays]]&gt;5,"Overdue","Within SLA"),"Scheduled"))</f>
        <v>Within SLA</v>
      </c>
    </row>
    <row r="14" spans="1:14">
      <c r="A14" s="4" t="s">
        <v>144</v>
      </c>
      <c r="B14" s="4" t="s">
        <v>145</v>
      </c>
      <c r="C14" s="4" t="s">
        <v>20</v>
      </c>
      <c r="D14" s="4" t="s">
        <v>146</v>
      </c>
      <c r="E14" s="5">
        <v>46270</v>
      </c>
      <c r="F14" s="4">
        <v>5</v>
      </c>
      <c r="G14" s="5">
        <v>46258</v>
      </c>
      <c r="H14" s="4" t="s">
        <v>111</v>
      </c>
      <c r="I14" s="5">
        <v>46262</v>
      </c>
      <c r="J14" s="4">
        <f>COUNTIFS(Schedule[RequestID],Requests[[#This Row],[RequestID]])</f>
        <v>5</v>
      </c>
      <c r="K14" s="4">
        <f>Requests[[#This Row],[PeopleNeeded]]-Requests[[#This Row],[StaffAssigned]]</f>
        <v>0</v>
      </c>
      <c r="L14" s="4" t="str">
        <f>IF(Requests[[#This Row],[Status]]="Open","PENDING",IF(Requests[[#This Row],[StaffGap]]&gt;0,"UNDERSTAFFED","OK"))</f>
        <v>OK</v>
      </c>
      <c r="M14" s="6">
        <f ca="1">NETWORKDAYS(Requests[[#This Row],[DateReceived]],IF(Requests[[#This Row],[DateClosed]]="",TODAY(),Requests[[#This Row],[DateClosed]]))-1</f>
        <v>4</v>
      </c>
      <c r="N14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5" spans="1:14">
      <c r="A15" s="4" t="s">
        <v>147</v>
      </c>
      <c r="B15" s="4" t="s">
        <v>148</v>
      </c>
      <c r="C15" s="4" t="s">
        <v>31</v>
      </c>
      <c r="D15" s="4" t="s">
        <v>129</v>
      </c>
      <c r="E15" s="5">
        <v>46319</v>
      </c>
      <c r="F15" s="4">
        <v>5</v>
      </c>
      <c r="G15" s="5">
        <v>46297</v>
      </c>
      <c r="H15" s="4" t="s">
        <v>115</v>
      </c>
      <c r="I15" s="4"/>
      <c r="J15" s="4">
        <f>COUNTIFS(Schedule[RequestID],Requests[[#This Row],[RequestID]])</f>
        <v>5</v>
      </c>
      <c r="K15" s="4">
        <f>Requests[[#This Row],[PeopleNeeded]]-Requests[[#This Row],[StaffAssigned]]</f>
        <v>0</v>
      </c>
      <c r="L15" s="4" t="str">
        <f>IF(Requests[[#This Row],[Status]]="Open","PENDING",IF(Requests[[#This Row],[StaffGap]]&gt;0,"UNDERSTAFFED","OK"))</f>
        <v>OK</v>
      </c>
      <c r="M15" s="6">
        <f ca="1">NETWORKDAYS(Requests[[#This Row],[DateReceived]],IF(Requests[[#This Row],[DateClosed]]="",TODAY(),Requests[[#This Row],[DateClosed]]))-1</f>
        <v>3</v>
      </c>
      <c r="N15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16" spans="1:14">
      <c r="A16" s="4" t="s">
        <v>149</v>
      </c>
      <c r="B16" s="4" t="s">
        <v>150</v>
      </c>
      <c r="C16" s="4" t="s">
        <v>12</v>
      </c>
      <c r="D16" s="4" t="s">
        <v>132</v>
      </c>
      <c r="E16" s="5">
        <v>46298</v>
      </c>
      <c r="F16" s="4">
        <v>3</v>
      </c>
      <c r="G16" s="5">
        <v>46279</v>
      </c>
      <c r="H16" s="4" t="s">
        <v>111</v>
      </c>
      <c r="I16" s="5">
        <v>46288</v>
      </c>
      <c r="J16" s="4">
        <f>COUNTIFS(Schedule[RequestID],Requests[[#This Row],[RequestID]])</f>
        <v>3</v>
      </c>
      <c r="K16" s="4">
        <f>Requests[[#This Row],[PeopleNeeded]]-Requests[[#This Row],[StaffAssigned]]</f>
        <v>0</v>
      </c>
      <c r="L16" s="4" t="str">
        <f>IF(Requests[[#This Row],[Status]]="Open","PENDING",IF(Requests[[#This Row],[StaffGap]]&gt;0,"UNDERSTAFFED","OK"))</f>
        <v>OK</v>
      </c>
      <c r="M16" s="6">
        <f ca="1">NETWORKDAYS(Requests[[#This Row],[DateReceived]],IF(Requests[[#This Row],[DateClosed]]="",TODAY(),Requests[[#This Row],[DateClosed]]))-1</f>
        <v>7</v>
      </c>
      <c r="N16" s="6" t="str">
        <f ca="1">IF(Requests[[#This Row],[Status]]="Closed",IF(Requests[[#This Row],[SLADays]]&lt;=5,"Met","Breached"),IF(Requests[[#This Row],[Status]]="Open",IF(Requests[[#This Row],[SLADays]]&gt;5,"Overdue","Within SLA"),"Scheduled"))</f>
        <v>Breached</v>
      </c>
    </row>
    <row r="17" spans="1:14">
      <c r="A17" s="4" t="s">
        <v>151</v>
      </c>
      <c r="B17" s="4" t="s">
        <v>152</v>
      </c>
      <c r="C17" s="4" t="s">
        <v>31</v>
      </c>
      <c r="D17" s="4" t="s">
        <v>143</v>
      </c>
      <c r="E17" s="5">
        <v>46298</v>
      </c>
      <c r="F17" s="4">
        <v>4</v>
      </c>
      <c r="G17" s="5">
        <v>46287</v>
      </c>
      <c r="H17" s="4" t="s">
        <v>111</v>
      </c>
      <c r="I17" s="5">
        <v>46289</v>
      </c>
      <c r="J17" s="4">
        <f>COUNTIFS(Schedule[RequestID],Requests[[#This Row],[RequestID]])</f>
        <v>4</v>
      </c>
      <c r="K17" s="4">
        <f>Requests[[#This Row],[PeopleNeeded]]-Requests[[#This Row],[StaffAssigned]]</f>
        <v>0</v>
      </c>
      <c r="L17" s="4" t="str">
        <f>IF(Requests[[#This Row],[Status]]="Open","PENDING",IF(Requests[[#This Row],[StaffGap]]&gt;0,"UNDERSTAFFED","OK"))</f>
        <v>OK</v>
      </c>
      <c r="M17" s="6">
        <f ca="1">NETWORKDAYS(Requests[[#This Row],[DateReceived]],IF(Requests[[#This Row],[DateClosed]]="",TODAY(),Requests[[#This Row],[DateClosed]]))-1</f>
        <v>2</v>
      </c>
      <c r="N17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8" spans="1:14">
      <c r="A18" s="4" t="s">
        <v>153</v>
      </c>
      <c r="B18" s="4" t="s">
        <v>154</v>
      </c>
      <c r="C18" s="4" t="s">
        <v>20</v>
      </c>
      <c r="D18" s="4" t="s">
        <v>110</v>
      </c>
      <c r="E18" s="5">
        <v>46270</v>
      </c>
      <c r="F18" s="4">
        <v>2</v>
      </c>
      <c r="G18" s="5">
        <v>46245</v>
      </c>
      <c r="H18" s="4" t="s">
        <v>111</v>
      </c>
      <c r="I18" s="5">
        <v>46249</v>
      </c>
      <c r="J18" s="4">
        <f>COUNTIFS(Schedule[RequestID],Requests[[#This Row],[RequestID]])</f>
        <v>2</v>
      </c>
      <c r="K18" s="4">
        <f>Requests[[#This Row],[PeopleNeeded]]-Requests[[#This Row],[StaffAssigned]]</f>
        <v>0</v>
      </c>
      <c r="L18" s="4" t="str">
        <f>IF(Requests[[#This Row],[Status]]="Open","PENDING",IF(Requests[[#This Row],[StaffGap]]&gt;0,"UNDERSTAFFED","OK"))</f>
        <v>OK</v>
      </c>
      <c r="M18" s="6">
        <f ca="1">NETWORKDAYS(Requests[[#This Row],[DateReceived]],IF(Requests[[#This Row],[DateClosed]]="",TODAY(),Requests[[#This Row],[DateClosed]]))-1</f>
        <v>3</v>
      </c>
      <c r="N18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19" spans="1:14">
      <c r="A19" s="4" t="s">
        <v>155</v>
      </c>
      <c r="B19" s="4" t="s">
        <v>156</v>
      </c>
      <c r="C19" s="4" t="s">
        <v>31</v>
      </c>
      <c r="D19" s="4" t="s">
        <v>129</v>
      </c>
      <c r="E19" s="5">
        <v>46361</v>
      </c>
      <c r="F19" s="4">
        <v>5</v>
      </c>
      <c r="G19" s="5">
        <v>46298</v>
      </c>
      <c r="H19" s="4" t="s">
        <v>115</v>
      </c>
      <c r="I19" s="4"/>
      <c r="J19" s="4">
        <f>COUNTIFS(Schedule[RequestID],Requests[[#This Row],[RequestID]])</f>
        <v>4</v>
      </c>
      <c r="K19" s="4">
        <f>Requests[[#This Row],[PeopleNeeded]]-Requests[[#This Row],[StaffAssigned]]</f>
        <v>1</v>
      </c>
      <c r="L19" s="4" t="str">
        <f>IF(Requests[[#This Row],[Status]]="Open","PENDING",IF(Requests[[#This Row],[StaffGap]]&gt;0,"UNDERSTAFFED","OK"))</f>
        <v>UNDERSTAFFED</v>
      </c>
      <c r="M19" s="6">
        <f ca="1">NETWORKDAYS(Requests[[#This Row],[DateReceived]],IF(Requests[[#This Row],[DateClosed]]="",TODAY(),Requests[[#This Row],[DateClosed]]))-1</f>
        <v>2</v>
      </c>
      <c r="N19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0" spans="1:14">
      <c r="A20" s="4" t="s">
        <v>157</v>
      </c>
      <c r="B20" s="4" t="s">
        <v>158</v>
      </c>
      <c r="C20" s="4" t="s">
        <v>31</v>
      </c>
      <c r="D20" s="4" t="s">
        <v>159</v>
      </c>
      <c r="E20" s="5">
        <v>46277</v>
      </c>
      <c r="F20" s="4">
        <v>4</v>
      </c>
      <c r="G20" s="5">
        <v>46266</v>
      </c>
      <c r="H20" s="4" t="s">
        <v>111</v>
      </c>
      <c r="I20" s="5">
        <v>46269</v>
      </c>
      <c r="J20" s="4">
        <f>COUNTIFS(Schedule[RequestID],Requests[[#This Row],[RequestID]])</f>
        <v>4</v>
      </c>
      <c r="K20" s="4">
        <f>Requests[[#This Row],[PeopleNeeded]]-Requests[[#This Row],[StaffAssigned]]</f>
        <v>0</v>
      </c>
      <c r="L20" s="4" t="str">
        <f>IF(Requests[[#This Row],[Status]]="Open","PENDING",IF(Requests[[#This Row],[StaffGap]]&gt;0,"UNDERSTAFFED","OK"))</f>
        <v>OK</v>
      </c>
      <c r="M20" s="6">
        <f ca="1">NETWORKDAYS(Requests[[#This Row],[DateReceived]],IF(Requests[[#This Row],[DateClosed]]="",TODAY(),Requests[[#This Row],[DateClosed]]))-1</f>
        <v>3</v>
      </c>
      <c r="N20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21" spans="1:14">
      <c r="A21" s="4" t="s">
        <v>160</v>
      </c>
      <c r="B21" s="4" t="s">
        <v>161</v>
      </c>
      <c r="C21" s="4" t="s">
        <v>31</v>
      </c>
      <c r="D21" s="4" t="s">
        <v>159</v>
      </c>
      <c r="E21" s="5">
        <v>46298</v>
      </c>
      <c r="F21" s="4">
        <v>3</v>
      </c>
      <c r="G21" s="5">
        <v>46278</v>
      </c>
      <c r="H21" s="4" t="s">
        <v>111</v>
      </c>
      <c r="I21" s="5">
        <v>46284</v>
      </c>
      <c r="J21" s="4">
        <f>COUNTIFS(Schedule[RequestID],Requests[[#This Row],[RequestID]])</f>
        <v>3</v>
      </c>
      <c r="K21" s="4">
        <f>Requests[[#This Row],[PeopleNeeded]]-Requests[[#This Row],[StaffAssigned]]</f>
        <v>0</v>
      </c>
      <c r="L21" s="4" t="str">
        <f>IF(Requests[[#This Row],[Status]]="Open","PENDING",IF(Requests[[#This Row],[StaffGap]]&gt;0,"UNDERSTAFFED","OK"))</f>
        <v>OK</v>
      </c>
      <c r="M21" s="6">
        <f ca="1">NETWORKDAYS(Requests[[#This Row],[DateReceived]],IF(Requests[[#This Row],[DateClosed]]="",TODAY(),Requests[[#This Row],[DateClosed]]))-1</f>
        <v>4</v>
      </c>
      <c r="N21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  <row r="22" spans="1:14">
      <c r="A22" s="4" t="s">
        <v>162</v>
      </c>
      <c r="B22" s="4" t="s">
        <v>163</v>
      </c>
      <c r="C22" s="4" t="s">
        <v>7</v>
      </c>
      <c r="D22" s="4" t="s">
        <v>121</v>
      </c>
      <c r="E22" s="5">
        <v>46340</v>
      </c>
      <c r="F22" s="4">
        <v>2</v>
      </c>
      <c r="G22" s="5">
        <v>46300</v>
      </c>
      <c r="H22" s="4" t="s">
        <v>133</v>
      </c>
      <c r="I22" s="4"/>
      <c r="J22" s="4">
        <f>COUNTIFS(Schedule[RequestID],Requests[[#This Row],[RequestID]])</f>
        <v>0</v>
      </c>
      <c r="K22" s="4">
        <f>Requests[[#This Row],[PeopleNeeded]]-Requests[[#This Row],[StaffAssigned]]</f>
        <v>2</v>
      </c>
      <c r="L22" s="4" t="str">
        <f>IF(Requests[[#This Row],[Status]]="Open","PENDING",IF(Requests[[#This Row],[StaffGap]]&gt;0,"UNDERSTAFFED","OK"))</f>
        <v>PENDING</v>
      </c>
      <c r="M22" s="6">
        <f ca="1">NETWORKDAYS(Requests[[#This Row],[DateReceived]],IF(Requests[[#This Row],[DateClosed]]="",TODAY(),Requests[[#This Row],[DateClosed]]))-1</f>
        <v>2</v>
      </c>
      <c r="N22" s="6" t="str">
        <f ca="1">IF(Requests[[#This Row],[Status]]="Closed",IF(Requests[[#This Row],[SLADays]]&lt;=5,"Met","Breached"),IF(Requests[[#This Row],[Status]]="Open",IF(Requests[[#This Row],[SLADays]]&gt;5,"Overdue","Within SLA"),"Scheduled"))</f>
        <v>Within SLA</v>
      </c>
    </row>
    <row r="23" spans="1:14">
      <c r="A23" s="4" t="s">
        <v>164</v>
      </c>
      <c r="B23" s="4" t="s">
        <v>165</v>
      </c>
      <c r="C23" s="4" t="s">
        <v>20</v>
      </c>
      <c r="D23" s="4" t="s">
        <v>146</v>
      </c>
      <c r="E23" s="5">
        <v>46319</v>
      </c>
      <c r="F23" s="4">
        <v>3</v>
      </c>
      <c r="G23" s="5">
        <v>46298</v>
      </c>
      <c r="H23" s="4" t="s">
        <v>115</v>
      </c>
      <c r="I23" s="4"/>
      <c r="J23" s="4">
        <f>COUNTIFS(Schedule[RequestID],Requests[[#This Row],[RequestID]])</f>
        <v>3</v>
      </c>
      <c r="K23" s="4">
        <f>Requests[[#This Row],[PeopleNeeded]]-Requests[[#This Row],[StaffAssigned]]</f>
        <v>0</v>
      </c>
      <c r="L23" s="4" t="str">
        <f>IF(Requests[[#This Row],[Status]]="Open","PENDING",IF(Requests[[#This Row],[StaffGap]]&gt;0,"UNDERSTAFFED","OK"))</f>
        <v>OK</v>
      </c>
      <c r="M23" s="6">
        <f ca="1">NETWORKDAYS(Requests[[#This Row],[DateReceived]],IF(Requests[[#This Row],[DateClosed]]="",TODAY(),Requests[[#This Row],[DateClosed]]))-1</f>
        <v>2</v>
      </c>
      <c r="N23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4" spans="1:14">
      <c r="A24" s="4" t="s">
        <v>166</v>
      </c>
      <c r="B24" s="4" t="s">
        <v>167</v>
      </c>
      <c r="C24" s="4" t="s">
        <v>20</v>
      </c>
      <c r="D24" s="4" t="s">
        <v>146</v>
      </c>
      <c r="E24" s="5">
        <v>46305</v>
      </c>
      <c r="F24" s="4">
        <v>4</v>
      </c>
      <c r="G24" s="5">
        <v>46288</v>
      </c>
      <c r="H24" s="4" t="s">
        <v>115</v>
      </c>
      <c r="I24" s="4"/>
      <c r="J24" s="4">
        <f>COUNTIFS(Schedule[RequestID],Requests[[#This Row],[RequestID]])</f>
        <v>3</v>
      </c>
      <c r="K24" s="4">
        <f>Requests[[#This Row],[PeopleNeeded]]-Requests[[#This Row],[StaffAssigned]]</f>
        <v>1</v>
      </c>
      <c r="L24" s="4" t="str">
        <f>IF(Requests[[#This Row],[Status]]="Open","PENDING",IF(Requests[[#This Row],[StaffGap]]&gt;0,"UNDERSTAFFED","OK"))</f>
        <v>UNDERSTAFFED</v>
      </c>
      <c r="M24" s="6">
        <f ca="1">NETWORKDAYS(Requests[[#This Row],[DateReceived]],IF(Requests[[#This Row],[DateClosed]]="",TODAY(),Requests[[#This Row],[DateClosed]]))-1</f>
        <v>10</v>
      </c>
      <c r="N24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5" spans="1:14">
      <c r="A25" s="4" t="s">
        <v>168</v>
      </c>
      <c r="B25" s="4" t="s">
        <v>169</v>
      </c>
      <c r="C25" s="4" t="s">
        <v>20</v>
      </c>
      <c r="D25" s="4" t="s">
        <v>110</v>
      </c>
      <c r="E25" s="5">
        <v>46333</v>
      </c>
      <c r="F25" s="4">
        <v>4</v>
      </c>
      <c r="G25" s="5">
        <v>46297</v>
      </c>
      <c r="H25" s="4" t="s">
        <v>115</v>
      </c>
      <c r="I25" s="4"/>
      <c r="J25" s="4">
        <f>COUNTIFS(Schedule[RequestID],Requests[[#This Row],[RequestID]])</f>
        <v>4</v>
      </c>
      <c r="K25" s="4">
        <f>Requests[[#This Row],[PeopleNeeded]]-Requests[[#This Row],[StaffAssigned]]</f>
        <v>0</v>
      </c>
      <c r="L25" s="4" t="str">
        <f>IF(Requests[[#This Row],[Status]]="Open","PENDING",IF(Requests[[#This Row],[StaffGap]]&gt;0,"UNDERSTAFFED","OK"))</f>
        <v>OK</v>
      </c>
      <c r="M25" s="6">
        <f ca="1">NETWORKDAYS(Requests[[#This Row],[DateReceived]],IF(Requests[[#This Row],[DateClosed]]="",TODAY(),Requests[[#This Row],[DateClosed]]))-1</f>
        <v>3</v>
      </c>
      <c r="N25" s="6" t="str">
        <f>IF(Requests[[#This Row],[Status]]="Closed",IF(Requests[[#This Row],[SLADays]]&lt;=5,"Met","Breached"),IF(Requests[[#This Row],[Status]]="Open",IF(Requests[[#This Row],[SLADays]]&gt;5,"Overdue","Within SLA"),"Scheduled"))</f>
        <v>Scheduled</v>
      </c>
    </row>
    <row r="26" spans="1:14">
      <c r="A26" s="4" t="s">
        <v>170</v>
      </c>
      <c r="B26" s="4" t="s">
        <v>171</v>
      </c>
      <c r="C26" s="4" t="s">
        <v>20</v>
      </c>
      <c r="D26" s="4" t="s">
        <v>114</v>
      </c>
      <c r="E26" s="5">
        <v>46277</v>
      </c>
      <c r="F26" s="4">
        <v>3</v>
      </c>
      <c r="G26" s="5">
        <v>46263</v>
      </c>
      <c r="H26" s="4" t="s">
        <v>111</v>
      </c>
      <c r="I26" s="5">
        <v>46269</v>
      </c>
      <c r="J26" s="4">
        <f>COUNTIFS(Schedule[RequestID],Requests[[#This Row],[RequestID]])</f>
        <v>3</v>
      </c>
      <c r="K26" s="4">
        <f>Requests[[#This Row],[PeopleNeeded]]-Requests[[#This Row],[StaffAssigned]]</f>
        <v>0</v>
      </c>
      <c r="L26" s="4" t="str">
        <f>IF(Requests[[#This Row],[Status]]="Open","PENDING",IF(Requests[[#This Row],[StaffGap]]&gt;0,"UNDERSTAFFED","OK"))</f>
        <v>OK</v>
      </c>
      <c r="M26" s="6">
        <f ca="1">NETWORKDAYS(Requests[[#This Row],[DateReceived]],IF(Requests[[#This Row],[DateClosed]]="",TODAY(),Requests[[#This Row],[DateClosed]]))-1</f>
        <v>4</v>
      </c>
      <c r="N26" s="6" t="str">
        <f ca="1">IF(Requests[[#This Row],[Status]]="Closed",IF(Requests[[#This Row],[SLADays]]&lt;=5,"Met","Breached"),IF(Requests[[#This Row],[Status]]="Open",IF(Requests[[#This Row],[SLADays]]&gt;5,"Overdue","Within SLA"),"Scheduled"))</f>
        <v>Met</v>
      </c>
    </row>
  </sheetData>
  <dataValidations count="2">
    <dataValidation type="list" allowBlank="1" showInputMessage="1" showErrorMessage="1" sqref="C2:C26" xr:uid="{AEE2F7C1-8C18-4DD2-BB19-E235B4E68040}">
      <formula1>"North,South,East,West"</formula1>
    </dataValidation>
    <dataValidation type="list" allowBlank="1" showInputMessage="1" showErrorMessage="1" sqref="H2:H26" xr:uid="{8856F9CF-CC79-42A0-AAB8-AE9CA3C0F1ED}">
      <formula1>"Open,Scheduled,Closed"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workbookViewId="0">
      <pane ySplit="1" topLeftCell="A2" activePane="bottomLeft" state="frozen"/>
      <selection pane="bottomLeft" activeCell="C4" sqref="C4"/>
    </sheetView>
  </sheetViews>
  <sheetFormatPr defaultRowHeight="15"/>
  <cols>
    <col min="1" max="5" width="20" customWidth="1"/>
    <col min="6" max="6" width="18.85546875" style="2" customWidth="1"/>
    <col min="7" max="7" width="21.85546875" customWidth="1"/>
  </cols>
  <sheetData>
    <row r="1" spans="1:7">
      <c r="A1" s="7" t="s">
        <v>172</v>
      </c>
      <c r="B1" s="7" t="s">
        <v>95</v>
      </c>
      <c r="C1" s="7" t="s">
        <v>0</v>
      </c>
      <c r="D1" s="7" t="s">
        <v>173</v>
      </c>
      <c r="E1" s="7" t="s">
        <v>174</v>
      </c>
      <c r="F1" s="9" t="s">
        <v>175</v>
      </c>
      <c r="G1" s="8" t="s">
        <v>176</v>
      </c>
    </row>
    <row r="2" spans="1:7">
      <c r="A2" s="4" t="s">
        <v>177</v>
      </c>
      <c r="B2" s="4" t="s">
        <v>108</v>
      </c>
      <c r="C2" s="4" t="s">
        <v>32</v>
      </c>
      <c r="D2" s="5">
        <v>46291</v>
      </c>
      <c r="E2" s="4">
        <v>8</v>
      </c>
      <c r="F2" s="6" t="str">
        <f>IF(COUNTIFS(Schedule[PractID],Schedule[[#This Row],[PractID]],Schedule[Date],Schedule[[#This Row],[Date]])&gt;1,"CONFLICT","OK")</f>
        <v>CONFLICT</v>
      </c>
      <c r="G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" spans="1:7">
      <c r="A3" s="4" t="s">
        <v>178</v>
      </c>
      <c r="B3" s="4" t="s">
        <v>108</v>
      </c>
      <c r="C3" s="4" t="s">
        <v>32</v>
      </c>
      <c r="D3" s="5">
        <v>46291</v>
      </c>
      <c r="E3" s="4">
        <v>8</v>
      </c>
      <c r="F3" s="6" t="str">
        <f>IF(COUNTIFS(Schedule[PractID],Schedule[[#This Row],[PractID]],Schedule[Date],Schedule[[#This Row],[Date]])&gt;1,"CONFLICT","OK")</f>
        <v>CONFLICT</v>
      </c>
      <c r="G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" spans="1:7">
      <c r="A4" s="4" t="s">
        <v>179</v>
      </c>
      <c r="B4" s="4" t="s">
        <v>108</v>
      </c>
      <c r="C4" s="4" t="s">
        <v>47</v>
      </c>
      <c r="D4" s="5">
        <v>46291</v>
      </c>
      <c r="E4" s="4">
        <v>10</v>
      </c>
      <c r="F4" s="6" t="str">
        <f>IF(COUNTIFS(Schedule[PractID],Schedule[[#This Row],[PractID]],Schedule[Date],Schedule[[#This Row],[Date]])&gt;1,"CONFLICT","OK")</f>
        <v>OK</v>
      </c>
      <c r="G4" s="4" t="str">
        <f>IF(COUNTIFS(Leave[PractID],Schedule[[#This Row],[PractID]],Leave[LeaveStart],"&lt;="&amp;Schedule[[#This Row],[Date]],Leave[LeaveEnd],"&gt;="&amp;Schedule[[#This Row],[Date]])&gt;0,"ON LEAVE","OK")</f>
        <v>ON LEAVE</v>
      </c>
    </row>
    <row r="5" spans="1:7">
      <c r="A5" s="4" t="s">
        <v>180</v>
      </c>
      <c r="B5" s="4" t="s">
        <v>108</v>
      </c>
      <c r="C5" s="4" t="s">
        <v>21</v>
      </c>
      <c r="D5" s="5">
        <v>46291</v>
      </c>
      <c r="E5" s="4">
        <v>8</v>
      </c>
      <c r="F5" s="6" t="str">
        <f>IF(COUNTIFS(Schedule[PractID],Schedule[[#This Row],[PractID]],Schedule[Date],Schedule[[#This Row],[Date]])&gt;1,"CONFLICT","OK")</f>
        <v>OK</v>
      </c>
      <c r="G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" spans="1:7">
      <c r="A6" s="4" t="s">
        <v>181</v>
      </c>
      <c r="B6" s="4" t="s">
        <v>108</v>
      </c>
      <c r="C6" s="4" t="s">
        <v>65</v>
      </c>
      <c r="D6" s="5">
        <v>46291</v>
      </c>
      <c r="E6" s="4">
        <v>10</v>
      </c>
      <c r="F6" s="6" t="str">
        <f>IF(COUNTIFS(Schedule[PractID],Schedule[[#This Row],[PractID]],Schedule[Date],Schedule[[#This Row],[Date]])&gt;1,"CONFLICT","OK")</f>
        <v>CONFLICT</v>
      </c>
      <c r="G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" spans="1:7">
      <c r="A7" s="4" t="s">
        <v>182</v>
      </c>
      <c r="B7" s="4" t="s">
        <v>112</v>
      </c>
      <c r="C7" s="4" t="s">
        <v>21</v>
      </c>
      <c r="D7" s="5">
        <v>46361</v>
      </c>
      <c r="E7" s="4">
        <v>8</v>
      </c>
      <c r="F7" s="6" t="str">
        <f>IF(COUNTIFS(Schedule[PractID],Schedule[[#This Row],[PractID]],Schedule[Date],Schedule[[#This Row],[Date]])&gt;1,"CONFLICT","OK")</f>
        <v>CONFLICT</v>
      </c>
      <c r="G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8" spans="1:7">
      <c r="A8" s="4" t="s">
        <v>183</v>
      </c>
      <c r="B8" s="4" t="s">
        <v>112</v>
      </c>
      <c r="C8" s="4" t="s">
        <v>47</v>
      </c>
      <c r="D8" s="5">
        <v>46361</v>
      </c>
      <c r="E8" s="4">
        <v>8</v>
      </c>
      <c r="F8" s="6" t="str">
        <f>IF(COUNTIFS(Schedule[PractID],Schedule[[#This Row],[PractID]],Schedule[Date],Schedule[[#This Row],[Date]])&gt;1,"CONFLICT","OK")</f>
        <v>OK</v>
      </c>
      <c r="G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9" spans="1:7">
      <c r="A9" s="4" t="s">
        <v>184</v>
      </c>
      <c r="B9" s="4" t="s">
        <v>112</v>
      </c>
      <c r="C9" s="4" t="s">
        <v>65</v>
      </c>
      <c r="D9" s="5">
        <v>46361</v>
      </c>
      <c r="E9" s="4">
        <v>10</v>
      </c>
      <c r="F9" s="6" t="str">
        <f>IF(COUNTIFS(Schedule[PractID],Schedule[[#This Row],[PractID]],Schedule[Date],Schedule[[#This Row],[Date]])&gt;1,"CONFLICT","OK")</f>
        <v>OK</v>
      </c>
      <c r="G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0" spans="1:7">
      <c r="A10" s="4" t="s">
        <v>185</v>
      </c>
      <c r="B10" s="4" t="s">
        <v>116</v>
      </c>
      <c r="C10" s="4" t="s">
        <v>43</v>
      </c>
      <c r="D10" s="5">
        <v>46298</v>
      </c>
      <c r="E10" s="4">
        <v>10</v>
      </c>
      <c r="F10" s="6" t="str">
        <f>IF(COUNTIFS(Schedule[PractID],Schedule[[#This Row],[PractID]],Schedule[Date],Schedule[[#This Row],[Date]])&gt;1,"CONFLICT","OK")</f>
        <v>OK</v>
      </c>
      <c r="G1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1" spans="1:7">
      <c r="A11" s="4" t="s">
        <v>186</v>
      </c>
      <c r="B11" s="4" t="s">
        <v>116</v>
      </c>
      <c r="C11" s="4" t="s">
        <v>25</v>
      </c>
      <c r="D11" s="5">
        <v>46298</v>
      </c>
      <c r="E11" s="4">
        <v>8</v>
      </c>
      <c r="F11" s="6" t="str">
        <f>IF(COUNTIFS(Schedule[PractID],Schedule[[#This Row],[PractID]],Schedule[Date],Schedule[[#This Row],[Date]])&gt;1,"CONFLICT","OK")</f>
        <v>OK</v>
      </c>
      <c r="G1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2" spans="1:7">
      <c r="A12" s="4" t="s">
        <v>187</v>
      </c>
      <c r="B12" s="4" t="s">
        <v>116</v>
      </c>
      <c r="C12" s="4" t="s">
        <v>67</v>
      </c>
      <c r="D12" s="5">
        <v>46298</v>
      </c>
      <c r="E12" s="4">
        <v>10</v>
      </c>
      <c r="F12" s="6" t="str">
        <f>IF(COUNTIFS(Schedule[PractID],Schedule[[#This Row],[PractID]],Schedule[Date],Schedule[[#This Row],[Date]])&gt;1,"CONFLICT","OK")</f>
        <v>OK</v>
      </c>
      <c r="G1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3" spans="1:7">
      <c r="A13" s="4" t="s">
        <v>188</v>
      </c>
      <c r="B13" s="4" t="s">
        <v>116</v>
      </c>
      <c r="C13" s="4" t="s">
        <v>49</v>
      </c>
      <c r="D13" s="5">
        <v>46298</v>
      </c>
      <c r="E13" s="4">
        <v>8</v>
      </c>
      <c r="F13" s="6" t="str">
        <f>IF(COUNTIFS(Schedule[PractID],Schedule[[#This Row],[PractID]],Schedule[Date],Schedule[[#This Row],[Date]])&gt;1,"CONFLICT","OK")</f>
        <v>CONFLICT</v>
      </c>
      <c r="G1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4" spans="1:7">
      <c r="A14" s="4" t="s">
        <v>189</v>
      </c>
      <c r="B14" s="4" t="s">
        <v>119</v>
      </c>
      <c r="C14" s="4" t="s">
        <v>83</v>
      </c>
      <c r="D14" s="5">
        <v>46312</v>
      </c>
      <c r="E14" s="4">
        <v>10</v>
      </c>
      <c r="F14" s="6" t="str">
        <f>IF(COUNTIFS(Schedule[PractID],Schedule[[#This Row],[PractID]],Schedule[Date],Schedule[[#This Row],[Date]])&gt;1,"CONFLICT","OK")</f>
        <v>OK</v>
      </c>
      <c r="G1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5" spans="1:7">
      <c r="A15" s="4" t="s">
        <v>190</v>
      </c>
      <c r="B15" s="4" t="s">
        <v>119</v>
      </c>
      <c r="C15" s="4" t="s">
        <v>53</v>
      </c>
      <c r="D15" s="5">
        <v>46312</v>
      </c>
      <c r="E15" s="4">
        <v>8</v>
      </c>
      <c r="F15" s="6" t="str">
        <f>IF(COUNTIFS(Schedule[PractID],Schedule[[#This Row],[PractID]],Schedule[Date],Schedule[[#This Row],[Date]])&gt;1,"CONFLICT","OK")</f>
        <v>OK</v>
      </c>
      <c r="G1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6" spans="1:7">
      <c r="A16" s="4" t="s">
        <v>191</v>
      </c>
      <c r="B16" s="4" t="s">
        <v>119</v>
      </c>
      <c r="C16" s="4" t="s">
        <v>77</v>
      </c>
      <c r="D16" s="5">
        <v>46312</v>
      </c>
      <c r="E16" s="4">
        <v>8</v>
      </c>
      <c r="F16" s="6" t="str">
        <f>IF(COUNTIFS(Schedule[PractID],Schedule[[#This Row],[PractID]],Schedule[Date],Schedule[[#This Row],[Date]])&gt;1,"CONFLICT","OK")</f>
        <v>OK</v>
      </c>
      <c r="G1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7" spans="1:7">
      <c r="A17" s="4" t="s">
        <v>192</v>
      </c>
      <c r="B17" s="4" t="s">
        <v>122</v>
      </c>
      <c r="C17" s="4" t="s">
        <v>53</v>
      </c>
      <c r="D17" s="5">
        <v>46277</v>
      </c>
      <c r="E17" s="4">
        <v>8</v>
      </c>
      <c r="F17" s="6" t="str">
        <f>IF(COUNTIFS(Schedule[PractID],Schedule[[#This Row],[PractID]],Schedule[Date],Schedule[[#This Row],[Date]])&gt;1,"CONFLICT","OK")</f>
        <v>OK</v>
      </c>
      <c r="G1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8" spans="1:7">
      <c r="A18" s="4" t="s">
        <v>193</v>
      </c>
      <c r="B18" s="4" t="s">
        <v>122</v>
      </c>
      <c r="C18" s="4" t="s">
        <v>55</v>
      </c>
      <c r="D18" s="5">
        <v>46277</v>
      </c>
      <c r="E18" s="4">
        <v>8</v>
      </c>
      <c r="F18" s="6" t="str">
        <f>IF(COUNTIFS(Schedule[PractID],Schedule[[#This Row],[PractID]],Schedule[Date],Schedule[[#This Row],[Date]])&gt;1,"CONFLICT","OK")</f>
        <v>OK</v>
      </c>
      <c r="G1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19" spans="1:7">
      <c r="A19" s="4" t="s">
        <v>194</v>
      </c>
      <c r="B19" s="4" t="s">
        <v>122</v>
      </c>
      <c r="C19" s="4" t="s">
        <v>5</v>
      </c>
      <c r="D19" s="5">
        <v>46277</v>
      </c>
      <c r="E19" s="4">
        <v>8</v>
      </c>
      <c r="F19" s="6" t="str">
        <f>IF(COUNTIFS(Schedule[PractID],Schedule[[#This Row],[PractID]],Schedule[Date],Schedule[[#This Row],[Date]])&gt;1,"CONFLICT","OK")</f>
        <v>OK</v>
      </c>
      <c r="G1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0" spans="1:7">
      <c r="A20" s="4" t="s">
        <v>195</v>
      </c>
      <c r="B20" s="4" t="s">
        <v>125</v>
      </c>
      <c r="C20" s="4" t="s">
        <v>21</v>
      </c>
      <c r="D20" s="5">
        <v>46270</v>
      </c>
      <c r="E20" s="4">
        <v>10</v>
      </c>
      <c r="F20" s="6" t="str">
        <f>IF(COUNTIFS(Schedule[PractID],Schedule[[#This Row],[PractID]],Schedule[Date],Schedule[[#This Row],[Date]])&gt;1,"CONFLICT","OK")</f>
        <v>OK</v>
      </c>
      <c r="G2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1" spans="1:7">
      <c r="A21" s="4" t="s">
        <v>196</v>
      </c>
      <c r="B21" s="4" t="s">
        <v>125</v>
      </c>
      <c r="C21" s="4" t="s">
        <v>91</v>
      </c>
      <c r="D21" s="5">
        <v>46270</v>
      </c>
      <c r="E21" s="4">
        <v>8</v>
      </c>
      <c r="F21" s="6" t="str">
        <f>IF(COUNTIFS(Schedule[PractID],Schedule[[#This Row],[PractID]],Schedule[Date],Schedule[[#This Row],[Date]])&gt;1,"CONFLICT","OK")</f>
        <v>OK</v>
      </c>
      <c r="G2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2" spans="1:7">
      <c r="A22" s="4" t="s">
        <v>197</v>
      </c>
      <c r="B22" s="4" t="s">
        <v>125</v>
      </c>
      <c r="C22" s="4" t="s">
        <v>47</v>
      </c>
      <c r="D22" s="5">
        <v>46270</v>
      </c>
      <c r="E22" s="4">
        <v>8</v>
      </c>
      <c r="F22" s="6" t="str">
        <f>IF(COUNTIFS(Schedule[PractID],Schedule[[#This Row],[PractID]],Schedule[Date],Schedule[[#This Row],[Date]])&gt;1,"CONFLICT","OK")</f>
        <v>OK</v>
      </c>
      <c r="G2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3" spans="1:7">
      <c r="A23" s="4" t="s">
        <v>198</v>
      </c>
      <c r="B23" s="4" t="s">
        <v>125</v>
      </c>
      <c r="C23" s="4" t="s">
        <v>32</v>
      </c>
      <c r="D23" s="5">
        <v>46270</v>
      </c>
      <c r="E23" s="4">
        <v>8</v>
      </c>
      <c r="F23" s="6" t="str">
        <f>IF(COUNTIFS(Schedule[PractID],Schedule[[#This Row],[PractID]],Schedule[Date],Schedule[[#This Row],[Date]])&gt;1,"CONFLICT","OK")</f>
        <v>OK</v>
      </c>
      <c r="G2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4" spans="1:7">
      <c r="A24" s="4" t="s">
        <v>199</v>
      </c>
      <c r="B24" s="4" t="s">
        <v>127</v>
      </c>
      <c r="C24" s="4" t="s">
        <v>29</v>
      </c>
      <c r="D24" s="5">
        <v>46277</v>
      </c>
      <c r="E24" s="4">
        <v>8</v>
      </c>
      <c r="F24" s="6" t="str">
        <f>IF(COUNTIFS(Schedule[PractID],Schedule[[#This Row],[PractID]],Schedule[Date],Schedule[[#This Row],[Date]])&gt;1,"CONFLICT","OK")</f>
        <v>OK</v>
      </c>
      <c r="G2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5" spans="1:7">
      <c r="A25" s="4" t="s">
        <v>200</v>
      </c>
      <c r="B25" s="4" t="s">
        <v>127</v>
      </c>
      <c r="C25" s="4" t="s">
        <v>75</v>
      </c>
      <c r="D25" s="5">
        <v>46277</v>
      </c>
      <c r="E25" s="4">
        <v>10</v>
      </c>
      <c r="F25" s="6" t="str">
        <f>IF(COUNTIFS(Schedule[PractID],Schedule[[#This Row],[PractID]],Schedule[Date],Schedule[[#This Row],[Date]])&gt;1,"CONFLICT","OK")</f>
        <v>OK</v>
      </c>
      <c r="G2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6" spans="1:7">
      <c r="A26" s="4" t="s">
        <v>201</v>
      </c>
      <c r="B26" s="4" t="s">
        <v>127</v>
      </c>
      <c r="C26" s="4" t="s">
        <v>87</v>
      </c>
      <c r="D26" s="5">
        <v>46277</v>
      </c>
      <c r="E26" s="4">
        <v>10</v>
      </c>
      <c r="F26" s="6" t="str">
        <f>IF(COUNTIFS(Schedule[PractID],Schedule[[#This Row],[PractID]],Schedule[Date],Schedule[[#This Row],[Date]])&gt;1,"CONFLICT","OK")</f>
        <v>OK</v>
      </c>
      <c r="G2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7" spans="1:7">
      <c r="A27" s="4" t="s">
        <v>202</v>
      </c>
      <c r="B27" s="4" t="s">
        <v>134</v>
      </c>
      <c r="C27" s="4" t="s">
        <v>49</v>
      </c>
      <c r="D27" s="5">
        <v>46277</v>
      </c>
      <c r="E27" s="4">
        <v>8</v>
      </c>
      <c r="F27" s="6" t="str">
        <f>IF(COUNTIFS(Schedule[PractID],Schedule[[#This Row],[PractID]],Schedule[Date],Schedule[[#This Row],[Date]])&gt;1,"CONFLICT","OK")</f>
        <v>OK</v>
      </c>
      <c r="G2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8" spans="1:7">
      <c r="A28" s="4" t="s">
        <v>203</v>
      </c>
      <c r="B28" s="4" t="s">
        <v>134</v>
      </c>
      <c r="C28" s="4" t="s">
        <v>93</v>
      </c>
      <c r="D28" s="5">
        <v>46277</v>
      </c>
      <c r="E28" s="4">
        <v>10</v>
      </c>
      <c r="F28" s="6" t="str">
        <f>IF(COUNTIFS(Schedule[PractID],Schedule[[#This Row],[PractID]],Schedule[Date],Schedule[[#This Row],[Date]])&gt;1,"CONFLICT","OK")</f>
        <v>OK</v>
      </c>
      <c r="G2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29" spans="1:7">
      <c r="A29" s="4" t="s">
        <v>204</v>
      </c>
      <c r="B29" s="4" t="s">
        <v>137</v>
      </c>
      <c r="C29" s="4" t="s">
        <v>65</v>
      </c>
      <c r="D29" s="5">
        <v>46340</v>
      </c>
      <c r="E29" s="4">
        <v>8</v>
      </c>
      <c r="F29" s="6" t="str">
        <f>IF(COUNTIFS(Schedule[PractID],Schedule[[#This Row],[PractID]],Schedule[Date],Schedule[[#This Row],[Date]])&gt;1,"CONFLICT","OK")</f>
        <v>OK</v>
      </c>
      <c r="G2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0" spans="1:7">
      <c r="A30" s="4" t="s">
        <v>205</v>
      </c>
      <c r="B30" s="4" t="s">
        <v>137</v>
      </c>
      <c r="C30" s="4" t="s">
        <v>21</v>
      </c>
      <c r="D30" s="5">
        <v>46340</v>
      </c>
      <c r="E30" s="4">
        <v>8</v>
      </c>
      <c r="F30" s="6" t="str">
        <f>IF(COUNTIFS(Schedule[PractID],Schedule[[#This Row],[PractID]],Schedule[Date],Schedule[[#This Row],[Date]])&gt;1,"CONFLICT","OK")</f>
        <v>OK</v>
      </c>
      <c r="G3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1" spans="1:7">
      <c r="A31" s="4" t="s">
        <v>206</v>
      </c>
      <c r="B31" s="4" t="s">
        <v>137</v>
      </c>
      <c r="C31" s="4" t="s">
        <v>47</v>
      </c>
      <c r="D31" s="5">
        <v>46340</v>
      </c>
      <c r="E31" s="4">
        <v>8</v>
      </c>
      <c r="F31" s="6" t="str">
        <f>IF(COUNTIFS(Schedule[PractID],Schedule[[#This Row],[PractID]],Schedule[Date],Schedule[[#This Row],[Date]])&gt;1,"CONFLICT","OK")</f>
        <v>OK</v>
      </c>
      <c r="G3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2" spans="1:7">
      <c r="A32" s="4" t="s">
        <v>207</v>
      </c>
      <c r="B32" s="4" t="s">
        <v>139</v>
      </c>
      <c r="C32" s="4" t="s">
        <v>65</v>
      </c>
      <c r="D32" s="5">
        <v>46291</v>
      </c>
      <c r="E32" s="4">
        <v>8</v>
      </c>
      <c r="F32" s="6" t="str">
        <f>IF(COUNTIFS(Schedule[PractID],Schedule[[#This Row],[PractID]],Schedule[Date],Schedule[[#This Row],[Date]])&gt;1,"CONFLICT","OK")</f>
        <v>CONFLICT</v>
      </c>
      <c r="G3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3" spans="1:7">
      <c r="A33" s="4" t="s">
        <v>208</v>
      </c>
      <c r="B33" s="4" t="s">
        <v>139</v>
      </c>
      <c r="C33" s="4" t="s">
        <v>29</v>
      </c>
      <c r="D33" s="5">
        <v>46291</v>
      </c>
      <c r="E33" s="4">
        <v>8</v>
      </c>
      <c r="F33" s="6" t="str">
        <f>IF(COUNTIFS(Schedule[PractID],Schedule[[#This Row],[PractID]],Schedule[Date],Schedule[[#This Row],[Date]])&gt;1,"CONFLICT","OK")</f>
        <v>OK</v>
      </c>
      <c r="G3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4" spans="1:7">
      <c r="A34" s="4" t="s">
        <v>209</v>
      </c>
      <c r="B34" s="4" t="s">
        <v>139</v>
      </c>
      <c r="C34" s="4" t="s">
        <v>57</v>
      </c>
      <c r="D34" s="5">
        <v>46291</v>
      </c>
      <c r="E34" s="4">
        <v>8</v>
      </c>
      <c r="F34" s="6" t="str">
        <f>IF(COUNTIFS(Schedule[PractID],Schedule[[#This Row],[PractID]],Schedule[Date],Schedule[[#This Row],[Date]])&gt;1,"CONFLICT","OK")</f>
        <v>OK</v>
      </c>
      <c r="G3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5" spans="1:7">
      <c r="A35" s="4" t="s">
        <v>210</v>
      </c>
      <c r="B35" s="4" t="s">
        <v>139</v>
      </c>
      <c r="C35" s="4" t="s">
        <v>71</v>
      </c>
      <c r="D35" s="5">
        <v>46291</v>
      </c>
      <c r="E35" s="4">
        <v>10</v>
      </c>
      <c r="F35" s="6" t="str">
        <f>IF(COUNTIFS(Schedule[PractID],Schedule[[#This Row],[PractID]],Schedule[Date],Schedule[[#This Row],[Date]])&gt;1,"CONFLICT","OK")</f>
        <v>OK</v>
      </c>
      <c r="G3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6" spans="1:7">
      <c r="A36" s="4" t="s">
        <v>211</v>
      </c>
      <c r="B36" s="4" t="s">
        <v>144</v>
      </c>
      <c r="C36" s="4" t="s">
        <v>37</v>
      </c>
      <c r="D36" s="5">
        <v>46270</v>
      </c>
      <c r="E36" s="4">
        <v>8</v>
      </c>
      <c r="F36" s="6" t="str">
        <f>IF(COUNTIFS(Schedule[PractID],Schedule[[#This Row],[PractID]],Schedule[Date],Schedule[[#This Row],[Date]])&gt;1,"CONFLICT","OK")</f>
        <v>OK</v>
      </c>
      <c r="G3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7" spans="1:7">
      <c r="A37" s="4" t="s">
        <v>212</v>
      </c>
      <c r="B37" s="4" t="s">
        <v>144</v>
      </c>
      <c r="C37" s="4" t="s">
        <v>65</v>
      </c>
      <c r="D37" s="5">
        <v>46270</v>
      </c>
      <c r="E37" s="4">
        <v>8</v>
      </c>
      <c r="F37" s="6" t="str">
        <f>IF(COUNTIFS(Schedule[PractID],Schedule[[#This Row],[PractID]],Schedule[Date],Schedule[[#This Row],[Date]])&gt;1,"CONFLICT","OK")</f>
        <v>OK</v>
      </c>
      <c r="G3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8" spans="1:7">
      <c r="A38" s="4" t="s">
        <v>213</v>
      </c>
      <c r="B38" s="4" t="s">
        <v>144</v>
      </c>
      <c r="C38" s="4" t="s">
        <v>79</v>
      </c>
      <c r="D38" s="5">
        <v>46270</v>
      </c>
      <c r="E38" s="4">
        <v>8</v>
      </c>
      <c r="F38" s="6" t="str">
        <f>IF(COUNTIFS(Schedule[PractID],Schedule[[#This Row],[PractID]],Schedule[Date],Schedule[[#This Row],[Date]])&gt;1,"CONFLICT","OK")</f>
        <v>OK</v>
      </c>
      <c r="G3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39" spans="1:7">
      <c r="A39" s="4" t="s">
        <v>214</v>
      </c>
      <c r="B39" s="4" t="s">
        <v>144</v>
      </c>
      <c r="C39" s="4" t="s">
        <v>34</v>
      </c>
      <c r="D39" s="5">
        <v>46270</v>
      </c>
      <c r="E39" s="4">
        <v>8</v>
      </c>
      <c r="F39" s="6" t="str">
        <f>IF(COUNTIFS(Schedule[PractID],Schedule[[#This Row],[PractID]],Schedule[Date],Schedule[[#This Row],[Date]])&gt;1,"CONFLICT","OK")</f>
        <v>OK</v>
      </c>
      <c r="G3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0" spans="1:7">
      <c r="A40" s="4" t="s">
        <v>215</v>
      </c>
      <c r="B40" s="4" t="s">
        <v>144</v>
      </c>
      <c r="C40" s="4" t="s">
        <v>71</v>
      </c>
      <c r="D40" s="5">
        <v>46270</v>
      </c>
      <c r="E40" s="4">
        <v>8</v>
      </c>
      <c r="F40" s="6" t="str">
        <f>IF(COUNTIFS(Schedule[PractID],Schedule[[#This Row],[PractID]],Schedule[Date],Schedule[[#This Row],[Date]])&gt;1,"CONFLICT","OK")</f>
        <v>OK</v>
      </c>
      <c r="G4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1" spans="1:7">
      <c r="A41" s="4" t="s">
        <v>216</v>
      </c>
      <c r="B41" s="4" t="s">
        <v>147</v>
      </c>
      <c r="C41" s="4" t="s">
        <v>87</v>
      </c>
      <c r="D41" s="5">
        <v>46319</v>
      </c>
      <c r="E41" s="4">
        <v>8</v>
      </c>
      <c r="F41" s="6" t="str">
        <f>IF(COUNTIFS(Schedule[PractID],Schedule[[#This Row],[PractID]],Schedule[Date],Schedule[[#This Row],[Date]])&gt;1,"CONFLICT","OK")</f>
        <v>OK</v>
      </c>
      <c r="G4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2" spans="1:7">
      <c r="A42" s="4" t="s">
        <v>217</v>
      </c>
      <c r="B42" s="4" t="s">
        <v>147</v>
      </c>
      <c r="C42" s="4" t="s">
        <v>34</v>
      </c>
      <c r="D42" s="5">
        <v>46319</v>
      </c>
      <c r="E42" s="4">
        <v>8</v>
      </c>
      <c r="F42" s="6" t="str">
        <f>IF(COUNTIFS(Schedule[PractID],Schedule[[#This Row],[PractID]],Schedule[Date],Schedule[[#This Row],[Date]])&gt;1,"CONFLICT","OK")</f>
        <v>OK</v>
      </c>
      <c r="G4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3" spans="1:7">
      <c r="A43" s="4" t="s">
        <v>218</v>
      </c>
      <c r="B43" s="4" t="s">
        <v>147</v>
      </c>
      <c r="C43" s="4" t="s">
        <v>71</v>
      </c>
      <c r="D43" s="5">
        <v>46319</v>
      </c>
      <c r="E43" s="4">
        <v>8</v>
      </c>
      <c r="F43" s="6" t="str">
        <f>IF(COUNTIFS(Schedule[PractID],Schedule[[#This Row],[PractID]],Schedule[Date],Schedule[[#This Row],[Date]])&gt;1,"CONFLICT","OK")</f>
        <v>OK</v>
      </c>
      <c r="G43" s="4" t="str">
        <f>IF(COUNTIFS(Leave[PractID],Schedule[[#This Row],[PractID]],Leave[LeaveStart],"&lt;="&amp;Schedule[[#This Row],[Date]],Leave[LeaveEnd],"&gt;="&amp;Schedule[[#This Row],[Date]])&gt;0,"ON LEAVE","OK")</f>
        <v>ON LEAVE</v>
      </c>
    </row>
    <row r="44" spans="1:7">
      <c r="A44" s="4" t="s">
        <v>219</v>
      </c>
      <c r="B44" s="4" t="s">
        <v>147</v>
      </c>
      <c r="C44" s="4" t="s">
        <v>29</v>
      </c>
      <c r="D44" s="5">
        <v>46319</v>
      </c>
      <c r="E44" s="4">
        <v>8</v>
      </c>
      <c r="F44" s="6" t="str">
        <f>IF(COUNTIFS(Schedule[PractID],Schedule[[#This Row],[PractID]],Schedule[Date],Schedule[[#This Row],[Date]])&gt;1,"CONFLICT","OK")</f>
        <v>OK</v>
      </c>
      <c r="G4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5" spans="1:7">
      <c r="A45" s="4" t="s">
        <v>220</v>
      </c>
      <c r="B45" s="4" t="s">
        <v>147</v>
      </c>
      <c r="C45" s="4" t="s">
        <v>75</v>
      </c>
      <c r="D45" s="5">
        <v>46319</v>
      </c>
      <c r="E45" s="4">
        <v>8</v>
      </c>
      <c r="F45" s="6" t="str">
        <f>IF(COUNTIFS(Schedule[PractID],Schedule[[#This Row],[PractID]],Schedule[Date],Schedule[[#This Row],[Date]])&gt;1,"CONFLICT","OK")</f>
        <v>OK</v>
      </c>
      <c r="G4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6" spans="1:7">
      <c r="A46" s="4" t="s">
        <v>221</v>
      </c>
      <c r="B46" s="4" t="s">
        <v>149</v>
      </c>
      <c r="C46" s="4" t="s">
        <v>81</v>
      </c>
      <c r="D46" s="5">
        <v>46298</v>
      </c>
      <c r="E46" s="4">
        <v>8</v>
      </c>
      <c r="F46" s="6" t="str">
        <f>IF(COUNTIFS(Schedule[PractID],Schedule[[#This Row],[PractID]],Schedule[Date],Schedule[[#This Row],[Date]])&gt;1,"CONFLICT","OK")</f>
        <v>OK</v>
      </c>
      <c r="G4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7" spans="1:7">
      <c r="A47" s="4" t="s">
        <v>222</v>
      </c>
      <c r="B47" s="4" t="s">
        <v>149</v>
      </c>
      <c r="C47" s="4" t="s">
        <v>49</v>
      </c>
      <c r="D47" s="5">
        <v>46298</v>
      </c>
      <c r="E47" s="4">
        <v>8</v>
      </c>
      <c r="F47" s="6" t="str">
        <f>IF(COUNTIFS(Schedule[PractID],Schedule[[#This Row],[PractID]],Schedule[Date],Schedule[[#This Row],[Date]])&gt;1,"CONFLICT","OK")</f>
        <v>CONFLICT</v>
      </c>
      <c r="G4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8" spans="1:7">
      <c r="A48" s="4" t="s">
        <v>223</v>
      </c>
      <c r="B48" s="4" t="s">
        <v>149</v>
      </c>
      <c r="C48" s="4" t="s">
        <v>23</v>
      </c>
      <c r="D48" s="5">
        <v>46298</v>
      </c>
      <c r="E48" s="4">
        <v>8</v>
      </c>
      <c r="F48" s="6" t="str">
        <f>IF(COUNTIFS(Schedule[PractID],Schedule[[#This Row],[PractID]],Schedule[Date],Schedule[[#This Row],[Date]])&gt;1,"CONFLICT","OK")</f>
        <v>OK</v>
      </c>
      <c r="G4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49" spans="1:7">
      <c r="A49" s="4" t="s">
        <v>224</v>
      </c>
      <c r="B49" s="4" t="s">
        <v>151</v>
      </c>
      <c r="C49" s="4" t="s">
        <v>71</v>
      </c>
      <c r="D49" s="5">
        <v>46298</v>
      </c>
      <c r="E49" s="4">
        <v>8</v>
      </c>
      <c r="F49" s="6" t="str">
        <f>IF(COUNTIFS(Schedule[PractID],Schedule[[#This Row],[PractID]],Schedule[Date],Schedule[[#This Row],[Date]])&gt;1,"CONFLICT","OK")</f>
        <v>OK</v>
      </c>
      <c r="G4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0" spans="1:7">
      <c r="A50" s="4" t="s">
        <v>225</v>
      </c>
      <c r="B50" s="4" t="s">
        <v>151</v>
      </c>
      <c r="C50" s="4" t="s">
        <v>34</v>
      </c>
      <c r="D50" s="5">
        <v>46298</v>
      </c>
      <c r="E50" s="4">
        <v>10</v>
      </c>
      <c r="F50" s="6" t="str">
        <f>IF(COUNTIFS(Schedule[PractID],Schedule[[#This Row],[PractID]],Schedule[Date],Schedule[[#This Row],[Date]])&gt;1,"CONFLICT","OK")</f>
        <v>OK</v>
      </c>
      <c r="G5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1" spans="1:7">
      <c r="A51" s="4" t="s">
        <v>226</v>
      </c>
      <c r="B51" s="4" t="s">
        <v>151</v>
      </c>
      <c r="C51" s="4" t="s">
        <v>69</v>
      </c>
      <c r="D51" s="5">
        <v>46298</v>
      </c>
      <c r="E51" s="4">
        <v>8</v>
      </c>
      <c r="F51" s="6" t="str">
        <f>IF(COUNTIFS(Schedule[PractID],Schedule[[#This Row],[PractID]],Schedule[Date],Schedule[[#This Row],[Date]])&gt;1,"CONFLICT","OK")</f>
        <v>OK</v>
      </c>
      <c r="G5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2" spans="1:7">
      <c r="A52" s="4" t="s">
        <v>227</v>
      </c>
      <c r="B52" s="4" t="s">
        <v>151</v>
      </c>
      <c r="C52" s="4" t="s">
        <v>57</v>
      </c>
      <c r="D52" s="5">
        <v>46298</v>
      </c>
      <c r="E52" s="4">
        <v>10</v>
      </c>
      <c r="F52" s="6" t="str">
        <f>IF(COUNTIFS(Schedule[PractID],Schedule[[#This Row],[PractID]],Schedule[Date],Schedule[[#This Row],[Date]])&gt;1,"CONFLICT","OK")</f>
        <v>OK</v>
      </c>
      <c r="G5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3" spans="1:7">
      <c r="A53" s="4" t="s">
        <v>228</v>
      </c>
      <c r="B53" s="4" t="s">
        <v>153</v>
      </c>
      <c r="C53" s="4" t="s">
        <v>81</v>
      </c>
      <c r="D53" s="5">
        <v>46270</v>
      </c>
      <c r="E53" s="4">
        <v>8</v>
      </c>
      <c r="F53" s="6" t="str">
        <f>IF(COUNTIFS(Schedule[PractID],Schedule[[#This Row],[PractID]],Schedule[Date],Schedule[[#This Row],[Date]])&gt;1,"CONFLICT","OK")</f>
        <v>OK</v>
      </c>
      <c r="G5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4" spans="1:7">
      <c r="A54" s="4" t="s">
        <v>229</v>
      </c>
      <c r="B54" s="4" t="s">
        <v>153</v>
      </c>
      <c r="C54" s="4" t="s">
        <v>29</v>
      </c>
      <c r="D54" s="5">
        <v>46270</v>
      </c>
      <c r="E54" s="4">
        <v>8</v>
      </c>
      <c r="F54" s="6" t="str">
        <f>IF(COUNTIFS(Schedule[PractID],Schedule[[#This Row],[PractID]],Schedule[Date],Schedule[[#This Row],[Date]])&gt;1,"CONFLICT","OK")</f>
        <v>OK</v>
      </c>
      <c r="G5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5" spans="1:7">
      <c r="A55" s="4" t="s">
        <v>230</v>
      </c>
      <c r="B55" s="4" t="s">
        <v>155</v>
      </c>
      <c r="C55" s="4" t="s">
        <v>75</v>
      </c>
      <c r="D55" s="5">
        <v>46361</v>
      </c>
      <c r="E55" s="4">
        <v>8</v>
      </c>
      <c r="F55" s="6" t="str">
        <f>IF(COUNTIFS(Schedule[PractID],Schedule[[#This Row],[PractID]],Schedule[Date],Schedule[[#This Row],[Date]])&gt;1,"CONFLICT","OK")</f>
        <v>OK</v>
      </c>
      <c r="G55" s="4" t="str">
        <f>IF(COUNTIFS(Leave[PractID],Schedule[[#This Row],[PractID]],Leave[LeaveStart],"&lt;="&amp;Schedule[[#This Row],[Date]],Leave[LeaveEnd],"&gt;="&amp;Schedule[[#This Row],[Date]])&gt;0,"ON LEAVE","OK")</f>
        <v>ON LEAVE</v>
      </c>
    </row>
    <row r="56" spans="1:7">
      <c r="A56" s="4" t="s">
        <v>231</v>
      </c>
      <c r="B56" s="4" t="s">
        <v>155</v>
      </c>
      <c r="C56" s="4" t="s">
        <v>21</v>
      </c>
      <c r="D56" s="5">
        <v>46361</v>
      </c>
      <c r="E56" s="4">
        <v>8</v>
      </c>
      <c r="F56" s="6" t="str">
        <f>IF(COUNTIFS(Schedule[PractID],Schedule[[#This Row],[PractID]],Schedule[Date],Schedule[[#This Row],[Date]])&gt;1,"CONFLICT","OK")</f>
        <v>CONFLICT</v>
      </c>
      <c r="G5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7" spans="1:7">
      <c r="A57" s="4" t="s">
        <v>232</v>
      </c>
      <c r="B57" s="4" t="s">
        <v>155</v>
      </c>
      <c r="C57" s="4" t="s">
        <v>29</v>
      </c>
      <c r="D57" s="5">
        <v>46361</v>
      </c>
      <c r="E57" s="4">
        <v>10</v>
      </c>
      <c r="F57" s="6" t="str">
        <f>IF(COUNTIFS(Schedule[PractID],Schedule[[#This Row],[PractID]],Schedule[Date],Schedule[[#This Row],[Date]])&gt;1,"CONFLICT","OK")</f>
        <v>OK</v>
      </c>
      <c r="G5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8" spans="1:7">
      <c r="A58" s="4" t="s">
        <v>233</v>
      </c>
      <c r="B58" s="4" t="s">
        <v>155</v>
      </c>
      <c r="C58" s="4" t="s">
        <v>69</v>
      </c>
      <c r="D58" s="5">
        <v>46361</v>
      </c>
      <c r="E58" s="4">
        <v>8</v>
      </c>
      <c r="F58" s="6" t="str">
        <f>IF(COUNTIFS(Schedule[PractID],Schedule[[#This Row],[PractID]],Schedule[Date],Schedule[[#This Row],[Date]])&gt;1,"CONFLICT","OK")</f>
        <v>OK</v>
      </c>
      <c r="G5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59" spans="1:7">
      <c r="A59" s="4" t="s">
        <v>234</v>
      </c>
      <c r="B59" s="4" t="s">
        <v>157</v>
      </c>
      <c r="C59" s="4" t="s">
        <v>69</v>
      </c>
      <c r="D59" s="5">
        <v>46277</v>
      </c>
      <c r="E59" s="4">
        <v>10</v>
      </c>
      <c r="F59" s="6" t="str">
        <f>IF(COUNTIFS(Schedule[PractID],Schedule[[#This Row],[PractID]],Schedule[Date],Schedule[[#This Row],[Date]])&gt;1,"CONFLICT","OK")</f>
        <v>OK</v>
      </c>
      <c r="G5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0" spans="1:7">
      <c r="A60" s="4" t="s">
        <v>235</v>
      </c>
      <c r="B60" s="4" t="s">
        <v>157</v>
      </c>
      <c r="C60" s="4" t="s">
        <v>34</v>
      </c>
      <c r="D60" s="5">
        <v>46277</v>
      </c>
      <c r="E60" s="4">
        <v>10</v>
      </c>
      <c r="F60" s="6" t="str">
        <f>IF(COUNTIFS(Schedule[PractID],Schedule[[#This Row],[PractID]],Schedule[Date],Schedule[[#This Row],[Date]])&gt;1,"CONFLICT","OK")</f>
        <v>OK</v>
      </c>
      <c r="G6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1" spans="1:7">
      <c r="A61" s="4" t="s">
        <v>236</v>
      </c>
      <c r="B61" s="4" t="s">
        <v>157</v>
      </c>
      <c r="C61" s="4" t="s">
        <v>71</v>
      </c>
      <c r="D61" s="5">
        <v>46277</v>
      </c>
      <c r="E61" s="4">
        <v>10</v>
      </c>
      <c r="F61" s="6" t="str">
        <f>IF(COUNTIFS(Schedule[PractID],Schedule[[#This Row],[PractID]],Schedule[Date],Schedule[[#This Row],[Date]])&gt;1,"CONFLICT","OK")</f>
        <v>OK</v>
      </c>
      <c r="G6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2" spans="1:7">
      <c r="A62" s="4" t="s">
        <v>237</v>
      </c>
      <c r="B62" s="4" t="s">
        <v>157</v>
      </c>
      <c r="C62" s="4" t="s">
        <v>57</v>
      </c>
      <c r="D62" s="5">
        <v>46277</v>
      </c>
      <c r="E62" s="4">
        <v>8</v>
      </c>
      <c r="F62" s="6" t="str">
        <f>IF(COUNTIFS(Schedule[PractID],Schedule[[#This Row],[PractID]],Schedule[Date],Schedule[[#This Row],[Date]])&gt;1,"CONFLICT","OK")</f>
        <v>OK</v>
      </c>
      <c r="G6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3" spans="1:7">
      <c r="A63" s="4" t="s">
        <v>238</v>
      </c>
      <c r="B63" s="4" t="s">
        <v>160</v>
      </c>
      <c r="C63" s="4" t="s">
        <v>87</v>
      </c>
      <c r="D63" s="5">
        <v>46298</v>
      </c>
      <c r="E63" s="4">
        <v>8</v>
      </c>
      <c r="F63" s="6" t="str">
        <f>IF(COUNTIFS(Schedule[PractID],Schedule[[#This Row],[PractID]],Schedule[Date],Schedule[[#This Row],[Date]])&gt;1,"CONFLICT","OK")</f>
        <v>OK</v>
      </c>
      <c r="G6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4" spans="1:7">
      <c r="A64" s="4" t="s">
        <v>239</v>
      </c>
      <c r="B64" s="4" t="s">
        <v>160</v>
      </c>
      <c r="C64" s="4" t="s">
        <v>75</v>
      </c>
      <c r="D64" s="5">
        <v>46298</v>
      </c>
      <c r="E64" s="4">
        <v>8</v>
      </c>
      <c r="F64" s="6" t="str">
        <f>IF(COUNTIFS(Schedule[PractID],Schedule[[#This Row],[PractID]],Schedule[Date],Schedule[[#This Row],[Date]])&gt;1,"CONFLICT","OK")</f>
        <v>OK</v>
      </c>
      <c r="G6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5" spans="1:7">
      <c r="A65" s="4" t="s">
        <v>240</v>
      </c>
      <c r="B65" s="4" t="s">
        <v>160</v>
      </c>
      <c r="C65" s="4" t="s">
        <v>29</v>
      </c>
      <c r="D65" s="5">
        <v>46298</v>
      </c>
      <c r="E65" s="4">
        <v>8</v>
      </c>
      <c r="F65" s="6" t="str">
        <f>IF(COUNTIFS(Schedule[PractID],Schedule[[#This Row],[PractID]],Schedule[Date],Schedule[[#This Row],[Date]])&gt;1,"CONFLICT","OK")</f>
        <v>OK</v>
      </c>
      <c r="G6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6" spans="1:7">
      <c r="A66" s="4" t="s">
        <v>241</v>
      </c>
      <c r="B66" s="4" t="s">
        <v>164</v>
      </c>
      <c r="C66" s="4" t="s">
        <v>21</v>
      </c>
      <c r="D66" s="5">
        <v>46319</v>
      </c>
      <c r="E66" s="4">
        <v>10</v>
      </c>
      <c r="F66" s="6" t="str">
        <f>IF(COUNTIFS(Schedule[PractID],Schedule[[#This Row],[PractID]],Schedule[Date],Schedule[[#This Row],[Date]])&gt;1,"CONFLICT","OK")</f>
        <v>OK</v>
      </c>
      <c r="G6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7" spans="1:7">
      <c r="A67" s="4" t="s">
        <v>242</v>
      </c>
      <c r="B67" s="4" t="s">
        <v>164</v>
      </c>
      <c r="C67" s="4" t="s">
        <v>47</v>
      </c>
      <c r="D67" s="5">
        <v>46319</v>
      </c>
      <c r="E67" s="4">
        <v>10</v>
      </c>
      <c r="F67" s="6" t="str">
        <f>IF(COUNTIFS(Schedule[PractID],Schedule[[#This Row],[PractID]],Schedule[Date],Schedule[[#This Row],[Date]])&gt;1,"CONFLICT","OK")</f>
        <v>OK</v>
      </c>
      <c r="G6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8" spans="1:7">
      <c r="A68" s="4" t="s">
        <v>243</v>
      </c>
      <c r="B68" s="4" t="s">
        <v>164</v>
      </c>
      <c r="C68" s="4" t="s">
        <v>65</v>
      </c>
      <c r="D68" s="5">
        <v>46319</v>
      </c>
      <c r="E68" s="4">
        <v>8</v>
      </c>
      <c r="F68" s="6" t="str">
        <f>IF(COUNTIFS(Schedule[PractID],Schedule[[#This Row],[PractID]],Schedule[Date],Schedule[[#This Row],[Date]])&gt;1,"CONFLICT","OK")</f>
        <v>OK</v>
      </c>
      <c r="G68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69" spans="1:7">
      <c r="A69" s="4" t="s">
        <v>244</v>
      </c>
      <c r="B69" s="4" t="s">
        <v>166</v>
      </c>
      <c r="C69" s="4" t="s">
        <v>65</v>
      </c>
      <c r="D69" s="5">
        <v>46305</v>
      </c>
      <c r="E69" s="4">
        <v>10</v>
      </c>
      <c r="F69" s="6" t="str">
        <f>IF(COUNTIFS(Schedule[PractID],Schedule[[#This Row],[PractID]],Schedule[Date],Schedule[[#This Row],[Date]])&gt;1,"CONFLICT","OK")</f>
        <v>OK</v>
      </c>
      <c r="G69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0" spans="1:7">
      <c r="A70" s="4" t="s">
        <v>245</v>
      </c>
      <c r="B70" s="4" t="s">
        <v>166</v>
      </c>
      <c r="C70" s="4" t="s">
        <v>37</v>
      </c>
      <c r="D70" s="5">
        <v>46305</v>
      </c>
      <c r="E70" s="4">
        <v>10</v>
      </c>
      <c r="F70" s="6" t="str">
        <f>IF(COUNTIFS(Schedule[PractID],Schedule[[#This Row],[PractID]],Schedule[Date],Schedule[[#This Row],[Date]])&gt;1,"CONFLICT","OK")</f>
        <v>OK</v>
      </c>
      <c r="G70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1" spans="1:7">
      <c r="A71" s="4" t="s">
        <v>246</v>
      </c>
      <c r="B71" s="4" t="s">
        <v>166</v>
      </c>
      <c r="C71" s="4" t="s">
        <v>32</v>
      </c>
      <c r="D71" s="5">
        <v>46305</v>
      </c>
      <c r="E71" s="4">
        <v>8</v>
      </c>
      <c r="F71" s="6" t="str">
        <f>IF(COUNTIFS(Schedule[PractID],Schedule[[#This Row],[PractID]],Schedule[Date],Schedule[[#This Row],[Date]])&gt;1,"CONFLICT","OK")</f>
        <v>OK</v>
      </c>
      <c r="G71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2" spans="1:7">
      <c r="A72" s="4" t="s">
        <v>247</v>
      </c>
      <c r="B72" s="4" t="s">
        <v>168</v>
      </c>
      <c r="C72" s="4" t="s">
        <v>37</v>
      </c>
      <c r="D72" s="5">
        <v>46333</v>
      </c>
      <c r="E72" s="4">
        <v>8</v>
      </c>
      <c r="F72" s="6" t="str">
        <f>IF(COUNTIFS(Schedule[PractID],Schedule[[#This Row],[PractID]],Schedule[Date],Schedule[[#This Row],[Date]])&gt;1,"CONFLICT","OK")</f>
        <v>OK</v>
      </c>
      <c r="G72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3" spans="1:7">
      <c r="A73" s="4" t="s">
        <v>248</v>
      </c>
      <c r="B73" s="4" t="s">
        <v>168</v>
      </c>
      <c r="C73" s="4" t="s">
        <v>91</v>
      </c>
      <c r="D73" s="5">
        <v>46333</v>
      </c>
      <c r="E73" s="4">
        <v>8</v>
      </c>
      <c r="F73" s="6" t="str">
        <f>IF(COUNTIFS(Schedule[PractID],Schedule[[#This Row],[PractID]],Schedule[Date],Schedule[[#This Row],[Date]])&gt;1,"CONFLICT","OK")</f>
        <v>OK</v>
      </c>
      <c r="G73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4" spans="1:7">
      <c r="A74" s="4" t="s">
        <v>249</v>
      </c>
      <c r="B74" s="4" t="s">
        <v>168</v>
      </c>
      <c r="C74" s="4" t="s">
        <v>65</v>
      </c>
      <c r="D74" s="5">
        <v>46333</v>
      </c>
      <c r="E74" s="4">
        <v>8</v>
      </c>
      <c r="F74" s="6" t="str">
        <f>IF(COUNTIFS(Schedule[PractID],Schedule[[#This Row],[PractID]],Schedule[Date],Schedule[[#This Row],[Date]])&gt;1,"CONFLICT","OK")</f>
        <v>OK</v>
      </c>
      <c r="G74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5" spans="1:7">
      <c r="A75" s="4" t="s">
        <v>250</v>
      </c>
      <c r="B75" s="4" t="s">
        <v>168</v>
      </c>
      <c r="C75" s="4" t="s">
        <v>47</v>
      </c>
      <c r="D75" s="5">
        <v>46333</v>
      </c>
      <c r="E75" s="4">
        <v>8</v>
      </c>
      <c r="F75" s="6" t="str">
        <f>IF(COUNTIFS(Schedule[PractID],Schedule[[#This Row],[PractID]],Schedule[Date],Schedule[[#This Row],[Date]])&gt;1,"CONFLICT","OK")</f>
        <v>OK</v>
      </c>
      <c r="G75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6" spans="1:7">
      <c r="A76" s="4" t="s">
        <v>251</v>
      </c>
      <c r="B76" s="4" t="s">
        <v>170</v>
      </c>
      <c r="C76" s="4" t="s">
        <v>32</v>
      </c>
      <c r="D76" s="5">
        <v>46277</v>
      </c>
      <c r="E76" s="4">
        <v>8</v>
      </c>
      <c r="F76" s="6" t="str">
        <f>IF(COUNTIFS(Schedule[PractID],Schedule[[#This Row],[PractID]],Schedule[Date],Schedule[[#This Row],[Date]])&gt;1,"CONFLICT","OK")</f>
        <v>OK</v>
      </c>
      <c r="G76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7" spans="1:7">
      <c r="A77" s="4" t="s">
        <v>252</v>
      </c>
      <c r="B77" s="4" t="s">
        <v>170</v>
      </c>
      <c r="C77" s="4" t="s">
        <v>47</v>
      </c>
      <c r="D77" s="5">
        <v>46277</v>
      </c>
      <c r="E77" s="4">
        <v>8</v>
      </c>
      <c r="F77" s="6" t="str">
        <f>IF(COUNTIFS(Schedule[PractID],Schedule[[#This Row],[PractID]],Schedule[Date],Schedule[[#This Row],[Date]])&gt;1,"CONFLICT","OK")</f>
        <v>OK</v>
      </c>
      <c r="G77" s="4" t="str">
        <f>IF(COUNTIFS(Leave[PractID],Schedule[[#This Row],[PractID]],Leave[LeaveStart],"&lt;="&amp;Schedule[[#This Row],[Date]],Leave[LeaveEnd],"&gt;="&amp;Schedule[[#This Row],[Date]])&gt;0,"ON LEAVE","OK")</f>
        <v>OK</v>
      </c>
    </row>
    <row r="78" spans="1:7">
      <c r="A78" s="4" t="s">
        <v>253</v>
      </c>
      <c r="B78" s="4" t="s">
        <v>170</v>
      </c>
      <c r="C78" s="4" t="s">
        <v>65</v>
      </c>
      <c r="D78" s="5">
        <v>46277</v>
      </c>
      <c r="E78" s="4">
        <v>8</v>
      </c>
      <c r="F78" s="6" t="str">
        <f>IF(COUNTIFS(Schedule[PractID],Schedule[[#This Row],[PractID]],Schedule[Date],Schedule[[#This Row],[Date]])&gt;1,"CONFLICT","OK")</f>
        <v>OK</v>
      </c>
      <c r="G78" s="4" t="str">
        <f>IF(COUNTIFS(Leave[PractID],Schedule[[#This Row],[PractID]],Leave[LeaveStart],"&lt;="&amp;Schedule[[#This Row],[Date]],Leave[LeaveEnd],"&gt;="&amp;Schedule[[#This Row],[Date]])&gt;0,"ON LEAVE","OK")</f>
        <v>OK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pane ySplit="1" topLeftCell="A2" activePane="bottomLeft" state="frozen"/>
      <selection pane="bottomLeft" activeCell="F24" sqref="F24"/>
    </sheetView>
  </sheetViews>
  <sheetFormatPr defaultRowHeight="15"/>
  <cols>
    <col min="1" max="5" width="20" customWidth="1"/>
  </cols>
  <sheetData>
    <row r="1" spans="1:5">
      <c r="A1" s="7" t="s">
        <v>254</v>
      </c>
      <c r="B1" s="7" t="s">
        <v>0</v>
      </c>
      <c r="C1" s="7" t="s">
        <v>255</v>
      </c>
      <c r="D1" s="7" t="s">
        <v>256</v>
      </c>
      <c r="E1" s="7" t="s">
        <v>257</v>
      </c>
    </row>
    <row r="2" spans="1:5">
      <c r="A2" s="4" t="s">
        <v>258</v>
      </c>
      <c r="B2" s="4" t="s">
        <v>71</v>
      </c>
      <c r="C2" s="5">
        <v>46348</v>
      </c>
      <c r="D2" s="5">
        <v>46349</v>
      </c>
      <c r="E2" s="4" t="s">
        <v>259</v>
      </c>
    </row>
    <row r="3" spans="1:5">
      <c r="A3" s="4" t="s">
        <v>260</v>
      </c>
      <c r="B3" s="4" t="s">
        <v>25</v>
      </c>
      <c r="C3" s="5">
        <v>46283</v>
      </c>
      <c r="D3" s="5">
        <v>46287</v>
      </c>
      <c r="E3" s="4" t="s">
        <v>261</v>
      </c>
    </row>
    <row r="4" spans="1:5">
      <c r="A4" s="4" t="s">
        <v>262</v>
      </c>
      <c r="B4" s="4" t="s">
        <v>73</v>
      </c>
      <c r="C4" s="5">
        <v>46299</v>
      </c>
      <c r="D4" s="5">
        <v>46302</v>
      </c>
      <c r="E4" s="4" t="s">
        <v>261</v>
      </c>
    </row>
    <row r="5" spans="1:5">
      <c r="A5" s="4" t="s">
        <v>263</v>
      </c>
      <c r="B5" s="4" t="s">
        <v>27</v>
      </c>
      <c r="C5" s="5">
        <v>46317</v>
      </c>
      <c r="D5" s="5">
        <v>46318</v>
      </c>
      <c r="E5" s="4" t="s">
        <v>264</v>
      </c>
    </row>
    <row r="6" spans="1:5">
      <c r="A6" s="4" t="s">
        <v>265</v>
      </c>
      <c r="B6" s="4" t="s">
        <v>43</v>
      </c>
      <c r="C6" s="5">
        <v>46331</v>
      </c>
      <c r="D6" s="5">
        <v>46331</v>
      </c>
      <c r="E6" s="4" t="s">
        <v>264</v>
      </c>
    </row>
    <row r="7" spans="1:5">
      <c r="A7" s="4" t="s">
        <v>266</v>
      </c>
      <c r="B7" s="4" t="s">
        <v>45</v>
      </c>
      <c r="C7" s="5">
        <v>46280</v>
      </c>
      <c r="D7" s="5">
        <v>46281</v>
      </c>
      <c r="E7" s="4" t="s">
        <v>261</v>
      </c>
    </row>
    <row r="8" spans="1:5">
      <c r="A8" s="4" t="s">
        <v>267</v>
      </c>
      <c r="B8" s="4" t="s">
        <v>5</v>
      </c>
      <c r="C8" s="5">
        <v>46320</v>
      </c>
      <c r="D8" s="5">
        <v>46320</v>
      </c>
      <c r="E8" s="4" t="s">
        <v>259</v>
      </c>
    </row>
    <row r="9" spans="1:5">
      <c r="A9" s="4" t="s">
        <v>268</v>
      </c>
      <c r="B9" s="4" t="s">
        <v>5</v>
      </c>
      <c r="C9" s="5">
        <v>46314</v>
      </c>
      <c r="D9" s="5">
        <v>46317</v>
      </c>
      <c r="E9" s="4" t="s">
        <v>261</v>
      </c>
    </row>
    <row r="10" spans="1:5">
      <c r="A10" s="4" t="s">
        <v>269</v>
      </c>
      <c r="B10" s="4" t="s">
        <v>10</v>
      </c>
      <c r="C10" s="5">
        <v>46298</v>
      </c>
      <c r="D10" s="5">
        <v>46298</v>
      </c>
      <c r="E10" s="4" t="s">
        <v>261</v>
      </c>
    </row>
    <row r="11" spans="1:5">
      <c r="A11" s="4" t="s">
        <v>270</v>
      </c>
      <c r="B11" s="4" t="s">
        <v>67</v>
      </c>
      <c r="C11" s="5">
        <v>46358</v>
      </c>
      <c r="D11" s="5">
        <v>46362</v>
      </c>
      <c r="E11" s="4" t="s">
        <v>259</v>
      </c>
    </row>
    <row r="12" spans="1:5">
      <c r="A12" s="4" t="s">
        <v>271</v>
      </c>
      <c r="B12" s="4" t="s">
        <v>69</v>
      </c>
      <c r="C12" s="5">
        <v>46364</v>
      </c>
      <c r="D12" s="5">
        <v>46364</v>
      </c>
      <c r="E12" s="4" t="s">
        <v>259</v>
      </c>
    </row>
    <row r="13" spans="1:5">
      <c r="A13" s="4" t="s">
        <v>272</v>
      </c>
      <c r="B13" s="4" t="s">
        <v>59</v>
      </c>
      <c r="C13" s="5">
        <v>46321</v>
      </c>
      <c r="D13" s="5">
        <v>46324</v>
      </c>
      <c r="E13" s="4" t="s">
        <v>264</v>
      </c>
    </row>
    <row r="14" spans="1:5">
      <c r="A14" s="4" t="s">
        <v>273</v>
      </c>
      <c r="B14" s="4" t="s">
        <v>39</v>
      </c>
      <c r="C14" s="5">
        <v>46358</v>
      </c>
      <c r="D14" s="5">
        <v>46362</v>
      </c>
      <c r="E14" s="4" t="s">
        <v>264</v>
      </c>
    </row>
    <row r="15" spans="1:5">
      <c r="A15" s="4" t="s">
        <v>274</v>
      </c>
      <c r="B15" s="4" t="s">
        <v>77</v>
      </c>
      <c r="C15" s="5">
        <v>46330</v>
      </c>
      <c r="D15" s="5">
        <v>46332</v>
      </c>
      <c r="E15" s="4" t="s">
        <v>261</v>
      </c>
    </row>
    <row r="16" spans="1:5">
      <c r="A16" s="4" t="s">
        <v>275</v>
      </c>
      <c r="B16" s="4" t="s">
        <v>5</v>
      </c>
      <c r="C16" s="5">
        <v>46330</v>
      </c>
      <c r="D16" s="5">
        <v>46331</v>
      </c>
      <c r="E16" s="4" t="s">
        <v>264</v>
      </c>
    </row>
    <row r="17" spans="1:5">
      <c r="A17" s="4" t="s">
        <v>276</v>
      </c>
      <c r="B17" s="4" t="s">
        <v>59</v>
      </c>
      <c r="C17" s="5">
        <v>46313</v>
      </c>
      <c r="D17" s="5">
        <v>46317</v>
      </c>
      <c r="E17" s="4" t="s">
        <v>261</v>
      </c>
    </row>
    <row r="18" spans="1:5">
      <c r="A18" s="4" t="s">
        <v>277</v>
      </c>
      <c r="B18" s="4" t="s">
        <v>5</v>
      </c>
      <c r="C18" s="5">
        <v>46266</v>
      </c>
      <c r="D18" s="5">
        <v>46268</v>
      </c>
      <c r="E18" s="4" t="s">
        <v>259</v>
      </c>
    </row>
    <row r="19" spans="1:5">
      <c r="A19" s="4" t="s">
        <v>278</v>
      </c>
      <c r="B19" s="4" t="s">
        <v>67</v>
      </c>
      <c r="C19" s="5">
        <v>46268</v>
      </c>
      <c r="D19" s="5">
        <v>46270</v>
      </c>
      <c r="E19" s="4" t="s">
        <v>259</v>
      </c>
    </row>
    <row r="20" spans="1:5">
      <c r="A20" s="4" t="s">
        <v>279</v>
      </c>
      <c r="B20" s="4" t="s">
        <v>75</v>
      </c>
      <c r="C20" s="5">
        <v>46360</v>
      </c>
      <c r="D20" s="5">
        <v>46362</v>
      </c>
      <c r="E20" s="4" t="s">
        <v>264</v>
      </c>
    </row>
    <row r="21" spans="1:5">
      <c r="A21" s="4" t="s">
        <v>280</v>
      </c>
      <c r="B21" s="4" t="s">
        <v>71</v>
      </c>
      <c r="C21" s="5">
        <v>46318</v>
      </c>
      <c r="D21" s="5">
        <v>46320</v>
      </c>
      <c r="E21" s="4" t="s">
        <v>264</v>
      </c>
    </row>
    <row r="22" spans="1:5">
      <c r="A22" s="4" t="s">
        <v>281</v>
      </c>
      <c r="B22" t="s">
        <v>47</v>
      </c>
      <c r="C22" s="14">
        <v>46290</v>
      </c>
      <c r="D22" s="14">
        <v>46292</v>
      </c>
      <c r="E22" t="s">
        <v>264</v>
      </c>
    </row>
  </sheetData>
  <dataValidations count="1">
    <dataValidation type="list" allowBlank="1" showInputMessage="1" showErrorMessage="1" sqref="E2:E21" xr:uid="{29118945-E713-4A56-8127-CDBE73519CE4}">
      <formula1>"Annual,Sick,Exam"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workbookViewId="0">
      <pane ySplit="1" topLeftCell="A5" activePane="bottomLeft" state="frozen"/>
      <selection pane="bottomLeft" activeCell="F91" sqref="F91"/>
    </sheetView>
  </sheetViews>
  <sheetFormatPr defaultRowHeight="15"/>
  <cols>
    <col min="1" max="2" width="20" customWidth="1"/>
    <col min="3" max="3" width="29.5703125" bestFit="1" customWidth="1"/>
    <col min="4" max="6" width="20" customWidth="1"/>
    <col min="7" max="7" width="29.85546875" customWidth="1"/>
  </cols>
  <sheetData>
    <row r="1" spans="1:7">
      <c r="A1" s="7" t="s">
        <v>282</v>
      </c>
      <c r="B1" s="7" t="s">
        <v>0</v>
      </c>
      <c r="C1" s="7" t="s">
        <v>283</v>
      </c>
      <c r="D1" s="7" t="s">
        <v>284</v>
      </c>
      <c r="E1" s="7" t="s">
        <v>101</v>
      </c>
      <c r="F1" s="7" t="s">
        <v>285</v>
      </c>
      <c r="G1" s="8" t="s">
        <v>286</v>
      </c>
    </row>
    <row r="2" spans="1:7">
      <c r="A2" s="4" t="s">
        <v>287</v>
      </c>
      <c r="B2" s="4" t="s">
        <v>21</v>
      </c>
      <c r="C2" s="4" t="s">
        <v>288</v>
      </c>
      <c r="D2" s="5">
        <v>46358</v>
      </c>
      <c r="E2" s="4" t="s">
        <v>289</v>
      </c>
      <c r="F2" s="4"/>
      <c r="G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" spans="1:7">
      <c r="A3" s="4" t="s">
        <v>290</v>
      </c>
      <c r="B3" s="4" t="s">
        <v>21</v>
      </c>
      <c r="C3" s="4" t="s">
        <v>291</v>
      </c>
      <c r="D3" s="5">
        <v>46315</v>
      </c>
      <c r="E3" s="4" t="s">
        <v>292</v>
      </c>
      <c r="F3" s="5">
        <v>46301</v>
      </c>
      <c r="G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" spans="1:7">
      <c r="A4" s="4" t="s">
        <v>293</v>
      </c>
      <c r="B4" s="4" t="s">
        <v>87</v>
      </c>
      <c r="C4" s="4" t="s">
        <v>294</v>
      </c>
      <c r="D4" s="5">
        <v>46310</v>
      </c>
      <c r="E4" s="4" t="s">
        <v>295</v>
      </c>
      <c r="F4" s="4"/>
      <c r="G4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5" spans="1:7">
      <c r="A5" s="4" t="s">
        <v>296</v>
      </c>
      <c r="B5" s="4" t="s">
        <v>87</v>
      </c>
      <c r="C5" s="4" t="s">
        <v>291</v>
      </c>
      <c r="D5" s="5">
        <v>46292</v>
      </c>
      <c r="E5" s="4" t="s">
        <v>295</v>
      </c>
      <c r="F5" s="4"/>
      <c r="G5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6" spans="1:7">
      <c r="A6" s="4" t="s">
        <v>297</v>
      </c>
      <c r="B6" s="4" t="s">
        <v>41</v>
      </c>
      <c r="C6" s="4" t="s">
        <v>298</v>
      </c>
      <c r="D6" s="5">
        <v>46362</v>
      </c>
      <c r="E6" s="4" t="s">
        <v>289</v>
      </c>
      <c r="F6" s="4"/>
      <c r="G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" spans="1:7">
      <c r="A7" s="4" t="s">
        <v>299</v>
      </c>
      <c r="B7" s="4" t="s">
        <v>41</v>
      </c>
      <c r="C7" s="4" t="s">
        <v>294</v>
      </c>
      <c r="D7" s="5">
        <v>46330</v>
      </c>
      <c r="E7" s="4" t="s">
        <v>289</v>
      </c>
      <c r="F7" s="4"/>
      <c r="G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8" spans="1:7">
      <c r="A8" s="4" t="s">
        <v>300</v>
      </c>
      <c r="B8" s="4" t="s">
        <v>23</v>
      </c>
      <c r="C8" s="4" t="s">
        <v>288</v>
      </c>
      <c r="D8" s="5">
        <v>46291</v>
      </c>
      <c r="E8" s="4" t="s">
        <v>292</v>
      </c>
      <c r="F8" s="5">
        <v>46281</v>
      </c>
      <c r="G8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9" spans="1:7">
      <c r="A9" s="4" t="s">
        <v>301</v>
      </c>
      <c r="B9" s="4" t="s">
        <v>23</v>
      </c>
      <c r="C9" s="4" t="s">
        <v>291</v>
      </c>
      <c r="D9" s="5">
        <v>46286</v>
      </c>
      <c r="E9" s="4" t="s">
        <v>289</v>
      </c>
      <c r="F9" s="4"/>
      <c r="G9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10" spans="1:7">
      <c r="A10" s="4" t="s">
        <v>302</v>
      </c>
      <c r="B10" s="4" t="s">
        <v>91</v>
      </c>
      <c r="C10" s="4" t="s">
        <v>291</v>
      </c>
      <c r="D10" s="5">
        <v>46380</v>
      </c>
      <c r="E10" s="4" t="s">
        <v>295</v>
      </c>
      <c r="F10" s="4"/>
      <c r="G10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11" spans="1:7">
      <c r="A11" s="4" t="s">
        <v>303</v>
      </c>
      <c r="B11" s="4" t="s">
        <v>91</v>
      </c>
      <c r="C11" s="4" t="s">
        <v>288</v>
      </c>
      <c r="D11" s="5">
        <v>46288</v>
      </c>
      <c r="E11" s="4" t="s">
        <v>289</v>
      </c>
      <c r="F11" s="4"/>
      <c r="G11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12" spans="1:7">
      <c r="A12" s="4" t="s">
        <v>304</v>
      </c>
      <c r="B12" s="4" t="s">
        <v>75</v>
      </c>
      <c r="C12" s="4" t="s">
        <v>291</v>
      </c>
      <c r="D12" s="5">
        <v>46307</v>
      </c>
      <c r="E12" s="4" t="s">
        <v>295</v>
      </c>
      <c r="F12" s="4"/>
      <c r="G12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13" spans="1:7">
      <c r="A13" s="4" t="s">
        <v>305</v>
      </c>
      <c r="B13" s="4" t="s">
        <v>75</v>
      </c>
      <c r="C13" s="4" t="s">
        <v>298</v>
      </c>
      <c r="D13" s="5">
        <v>46309</v>
      </c>
      <c r="E13" s="4" t="s">
        <v>289</v>
      </c>
      <c r="F13" s="4"/>
      <c r="G13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14" spans="1:7">
      <c r="A14" s="4" t="s">
        <v>306</v>
      </c>
      <c r="B14" s="4" t="s">
        <v>77</v>
      </c>
      <c r="C14" s="4" t="s">
        <v>291</v>
      </c>
      <c r="D14" s="5">
        <v>46280</v>
      </c>
      <c r="E14" s="4" t="s">
        <v>292</v>
      </c>
      <c r="F14" s="5">
        <v>46278</v>
      </c>
      <c r="G1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15" spans="1:7">
      <c r="A15" s="4" t="s">
        <v>307</v>
      </c>
      <c r="B15" s="4" t="s">
        <v>77</v>
      </c>
      <c r="C15" s="4" t="s">
        <v>298</v>
      </c>
      <c r="D15" s="5">
        <v>46349</v>
      </c>
      <c r="E15" s="4" t="s">
        <v>289</v>
      </c>
      <c r="F15" s="4"/>
      <c r="G15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16" spans="1:7">
      <c r="A16" s="4" t="s">
        <v>308</v>
      </c>
      <c r="B16" s="4" t="s">
        <v>67</v>
      </c>
      <c r="C16" s="4" t="s">
        <v>291</v>
      </c>
      <c r="D16" s="5">
        <v>46364</v>
      </c>
      <c r="E16" s="4" t="s">
        <v>295</v>
      </c>
      <c r="F16" s="4"/>
      <c r="G1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17" spans="1:7">
      <c r="A17" s="4" t="s">
        <v>309</v>
      </c>
      <c r="B17" s="4" t="s">
        <v>67</v>
      </c>
      <c r="C17" s="4" t="s">
        <v>288</v>
      </c>
      <c r="D17" s="5">
        <v>46296</v>
      </c>
      <c r="E17" s="4" t="s">
        <v>292</v>
      </c>
      <c r="F17" s="5">
        <v>46293</v>
      </c>
      <c r="G17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18" spans="1:7">
      <c r="A18" s="4" t="s">
        <v>310</v>
      </c>
      <c r="B18" s="4" t="s">
        <v>18</v>
      </c>
      <c r="C18" s="4" t="s">
        <v>288</v>
      </c>
      <c r="D18" s="5">
        <v>46313</v>
      </c>
      <c r="E18" s="4" t="s">
        <v>292</v>
      </c>
      <c r="F18" s="5">
        <v>46302</v>
      </c>
      <c r="G18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19" spans="1:7">
      <c r="A19" s="4" t="s">
        <v>311</v>
      </c>
      <c r="B19" s="4" t="s">
        <v>18</v>
      </c>
      <c r="C19" s="4" t="s">
        <v>294</v>
      </c>
      <c r="D19" s="5">
        <v>46375</v>
      </c>
      <c r="E19" s="4" t="s">
        <v>292</v>
      </c>
      <c r="F19" s="5">
        <v>46300</v>
      </c>
      <c r="G19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0" spans="1:7">
      <c r="A20" s="4" t="s">
        <v>312</v>
      </c>
      <c r="B20" s="4" t="s">
        <v>45</v>
      </c>
      <c r="C20" s="4" t="s">
        <v>288</v>
      </c>
      <c r="D20" s="5">
        <v>46344</v>
      </c>
      <c r="E20" s="4" t="s">
        <v>292</v>
      </c>
      <c r="F20" s="5">
        <v>46302</v>
      </c>
      <c r="G2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1" spans="1:7">
      <c r="A21" s="4" t="s">
        <v>313</v>
      </c>
      <c r="B21" s="4" t="s">
        <v>45</v>
      </c>
      <c r="C21" s="4" t="s">
        <v>291</v>
      </c>
      <c r="D21" s="5">
        <v>46373</v>
      </c>
      <c r="E21" s="4" t="s">
        <v>295</v>
      </c>
      <c r="F21" s="4"/>
      <c r="G2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2" spans="1:7">
      <c r="A22" s="4" t="s">
        <v>314</v>
      </c>
      <c r="B22" s="4" t="s">
        <v>59</v>
      </c>
      <c r="C22" s="4" t="s">
        <v>298</v>
      </c>
      <c r="D22" s="5">
        <v>46362</v>
      </c>
      <c r="E22" s="4" t="s">
        <v>295</v>
      </c>
      <c r="F22" s="4"/>
      <c r="G2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3" spans="1:7">
      <c r="A23" s="4" t="s">
        <v>315</v>
      </c>
      <c r="B23" s="4" t="s">
        <v>59</v>
      </c>
      <c r="C23" s="4" t="s">
        <v>291</v>
      </c>
      <c r="D23" s="5">
        <v>46287</v>
      </c>
      <c r="E23" s="4" t="s">
        <v>295</v>
      </c>
      <c r="F23" s="4"/>
      <c r="G23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24" spans="1:7">
      <c r="A24" s="4" t="s">
        <v>316</v>
      </c>
      <c r="B24" s="4" t="s">
        <v>49</v>
      </c>
      <c r="C24" s="4" t="s">
        <v>294</v>
      </c>
      <c r="D24" s="5">
        <v>46367</v>
      </c>
      <c r="E24" s="4" t="s">
        <v>292</v>
      </c>
      <c r="F24" s="5">
        <v>46302</v>
      </c>
      <c r="G2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5" spans="1:7">
      <c r="A25" s="4" t="s">
        <v>317</v>
      </c>
      <c r="B25" s="4" t="s">
        <v>49</v>
      </c>
      <c r="C25" s="4" t="s">
        <v>291</v>
      </c>
      <c r="D25" s="5">
        <v>46290</v>
      </c>
      <c r="E25" s="4" t="s">
        <v>292</v>
      </c>
      <c r="F25" s="5">
        <v>46288</v>
      </c>
      <c r="G25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26" spans="1:7">
      <c r="A26" s="4" t="s">
        <v>318</v>
      </c>
      <c r="B26" s="4" t="s">
        <v>85</v>
      </c>
      <c r="C26" s="4" t="s">
        <v>291</v>
      </c>
      <c r="D26" s="5">
        <v>46359</v>
      </c>
      <c r="E26" s="4" t="s">
        <v>295</v>
      </c>
      <c r="F26" s="4"/>
      <c r="G2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7" spans="1:7">
      <c r="A27" s="4" t="s">
        <v>319</v>
      </c>
      <c r="B27" s="4" t="s">
        <v>85</v>
      </c>
      <c r="C27" s="4" t="s">
        <v>294</v>
      </c>
      <c r="D27" s="5">
        <v>46350</v>
      </c>
      <c r="E27" s="4" t="s">
        <v>295</v>
      </c>
      <c r="F27" s="4"/>
      <c r="G2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8" spans="1:7">
      <c r="A28" s="4" t="s">
        <v>320</v>
      </c>
      <c r="B28" s="4" t="s">
        <v>57</v>
      </c>
      <c r="C28" s="4" t="s">
        <v>294</v>
      </c>
      <c r="D28" s="5">
        <v>46347</v>
      </c>
      <c r="E28" s="4" t="s">
        <v>289</v>
      </c>
      <c r="F28" s="4"/>
      <c r="G2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29" spans="1:7">
      <c r="A29" s="4" t="s">
        <v>321</v>
      </c>
      <c r="B29" s="4" t="s">
        <v>57</v>
      </c>
      <c r="C29" s="4" t="s">
        <v>298</v>
      </c>
      <c r="D29" s="5">
        <v>46344</v>
      </c>
      <c r="E29" s="4" t="s">
        <v>295</v>
      </c>
      <c r="F29" s="4"/>
      <c r="G2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0" spans="1:7">
      <c r="A30" s="4" t="s">
        <v>322</v>
      </c>
      <c r="B30" s="4" t="s">
        <v>53</v>
      </c>
      <c r="C30" s="4" t="s">
        <v>288</v>
      </c>
      <c r="D30" s="5">
        <v>46294</v>
      </c>
      <c r="E30" s="4" t="s">
        <v>295</v>
      </c>
      <c r="F30" s="4"/>
      <c r="G30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31" spans="1:7">
      <c r="A31" s="4" t="s">
        <v>323</v>
      </c>
      <c r="B31" s="4" t="s">
        <v>53</v>
      </c>
      <c r="C31" s="4" t="s">
        <v>298</v>
      </c>
      <c r="D31" s="5">
        <v>46363</v>
      </c>
      <c r="E31" s="4" t="s">
        <v>295</v>
      </c>
      <c r="F31" s="4"/>
      <c r="G3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2" spans="1:7">
      <c r="A32" s="4" t="s">
        <v>324</v>
      </c>
      <c r="B32" s="4" t="s">
        <v>25</v>
      </c>
      <c r="C32" s="4" t="s">
        <v>291</v>
      </c>
      <c r="D32" s="5">
        <v>46337</v>
      </c>
      <c r="E32" s="4" t="s">
        <v>295</v>
      </c>
      <c r="F32" s="4"/>
      <c r="G3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3" spans="1:7">
      <c r="A33" s="4" t="s">
        <v>325</v>
      </c>
      <c r="B33" s="4" t="s">
        <v>25</v>
      </c>
      <c r="C33" s="4" t="s">
        <v>294</v>
      </c>
      <c r="D33" s="5">
        <v>46332</v>
      </c>
      <c r="E33" s="4" t="s">
        <v>289</v>
      </c>
      <c r="F33" s="4"/>
      <c r="G33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4" spans="1:7">
      <c r="A34" s="4" t="s">
        <v>326</v>
      </c>
      <c r="B34" s="4" t="s">
        <v>39</v>
      </c>
      <c r="C34" s="4" t="s">
        <v>294</v>
      </c>
      <c r="D34" s="5">
        <v>46333</v>
      </c>
      <c r="E34" s="4" t="s">
        <v>295</v>
      </c>
      <c r="F34" s="4"/>
      <c r="G34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5" spans="1:7">
      <c r="A35" s="4" t="s">
        <v>327</v>
      </c>
      <c r="B35" s="4" t="s">
        <v>39</v>
      </c>
      <c r="C35" s="4" t="s">
        <v>291</v>
      </c>
      <c r="D35" s="5">
        <v>46320</v>
      </c>
      <c r="E35" s="4" t="s">
        <v>289</v>
      </c>
      <c r="F35" s="4"/>
      <c r="G35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36" spans="1:7">
      <c r="A36" s="4" t="s">
        <v>328</v>
      </c>
      <c r="B36" s="4" t="s">
        <v>61</v>
      </c>
      <c r="C36" s="4" t="s">
        <v>298</v>
      </c>
      <c r="D36" s="5">
        <v>46299</v>
      </c>
      <c r="E36" s="4" t="s">
        <v>292</v>
      </c>
      <c r="F36" s="5">
        <v>46292</v>
      </c>
      <c r="G36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37" spans="1:7">
      <c r="A37" s="4" t="s">
        <v>329</v>
      </c>
      <c r="B37" s="4" t="s">
        <v>61</v>
      </c>
      <c r="C37" s="4" t="s">
        <v>291</v>
      </c>
      <c r="D37" s="5">
        <v>46291</v>
      </c>
      <c r="E37" s="4" t="s">
        <v>289</v>
      </c>
      <c r="F37" s="4"/>
      <c r="G37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38" spans="1:7">
      <c r="A38" s="4" t="s">
        <v>330</v>
      </c>
      <c r="B38" s="4" t="s">
        <v>55</v>
      </c>
      <c r="C38" s="4" t="s">
        <v>288</v>
      </c>
      <c r="D38" s="5">
        <v>46292</v>
      </c>
      <c r="E38" s="4" t="s">
        <v>289</v>
      </c>
      <c r="F38" s="4"/>
      <c r="G38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39" spans="1:7">
      <c r="A39" s="4" t="s">
        <v>331</v>
      </c>
      <c r="B39" s="4" t="s">
        <v>55</v>
      </c>
      <c r="C39" s="4" t="s">
        <v>291</v>
      </c>
      <c r="D39" s="5">
        <v>46327</v>
      </c>
      <c r="E39" s="4" t="s">
        <v>295</v>
      </c>
      <c r="F39" s="4"/>
      <c r="G3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0" spans="1:7">
      <c r="A40" s="4" t="s">
        <v>332</v>
      </c>
      <c r="B40" s="4" t="s">
        <v>51</v>
      </c>
      <c r="C40" s="4" t="s">
        <v>288</v>
      </c>
      <c r="D40" s="5">
        <v>46351</v>
      </c>
      <c r="E40" s="4" t="s">
        <v>295</v>
      </c>
      <c r="F40" s="4"/>
      <c r="G40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1" spans="1:7">
      <c r="A41" s="4" t="s">
        <v>333</v>
      </c>
      <c r="B41" s="4" t="s">
        <v>51</v>
      </c>
      <c r="C41" s="4" t="s">
        <v>298</v>
      </c>
      <c r="D41" s="5">
        <v>46365</v>
      </c>
      <c r="E41" s="4" t="s">
        <v>292</v>
      </c>
      <c r="F41" s="5">
        <v>46299</v>
      </c>
      <c r="G41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2" spans="1:7">
      <c r="A42" s="4" t="s">
        <v>334</v>
      </c>
      <c r="B42" s="4" t="s">
        <v>37</v>
      </c>
      <c r="C42" s="4" t="s">
        <v>288</v>
      </c>
      <c r="D42" s="5">
        <v>46356</v>
      </c>
      <c r="E42" s="4" t="s">
        <v>289</v>
      </c>
      <c r="F42" s="4"/>
      <c r="G4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3" spans="1:7">
      <c r="A43" s="4" t="s">
        <v>335</v>
      </c>
      <c r="B43" s="4" t="s">
        <v>37</v>
      </c>
      <c r="C43" s="4" t="s">
        <v>291</v>
      </c>
      <c r="D43" s="5">
        <v>46293</v>
      </c>
      <c r="E43" s="4" t="s">
        <v>292</v>
      </c>
      <c r="F43" s="5">
        <v>46290</v>
      </c>
      <c r="G4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4" spans="1:7">
      <c r="A44" s="4" t="s">
        <v>336</v>
      </c>
      <c r="B44" s="4" t="s">
        <v>69</v>
      </c>
      <c r="C44" s="4" t="s">
        <v>294</v>
      </c>
      <c r="D44" s="5">
        <v>46293</v>
      </c>
      <c r="E44" s="4" t="s">
        <v>292</v>
      </c>
      <c r="F44" s="5">
        <v>46285</v>
      </c>
      <c r="G4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45" spans="1:7">
      <c r="A45" s="4" t="s">
        <v>337</v>
      </c>
      <c r="B45" s="4" t="s">
        <v>69</v>
      </c>
      <c r="C45" s="4" t="s">
        <v>288</v>
      </c>
      <c r="D45" s="5">
        <v>46294</v>
      </c>
      <c r="E45" s="4" t="s">
        <v>289</v>
      </c>
      <c r="F45" s="4"/>
      <c r="G45" s="4" t="str">
        <f ca="1">IF(Training[[#This Row],[Status]]="Completed","Done",IF(Training[[#This Row],[DueDate]]&lt;TODAY(),"CHASE - OVERDUE",IF(Training[[#This Row],[DueDate]]-TODAY()&lt;=14,"Due soon","On track")))</f>
        <v>CHASE - OVERDUE</v>
      </c>
    </row>
    <row r="46" spans="1:7">
      <c r="A46" s="4" t="s">
        <v>338</v>
      </c>
      <c r="B46" s="4" t="s">
        <v>15</v>
      </c>
      <c r="C46" s="4" t="s">
        <v>291</v>
      </c>
      <c r="D46" s="5">
        <v>46351</v>
      </c>
      <c r="E46" s="4" t="s">
        <v>295</v>
      </c>
      <c r="F46" s="4"/>
      <c r="G4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7" spans="1:7">
      <c r="A47" s="4" t="s">
        <v>339</v>
      </c>
      <c r="B47" s="4" t="s">
        <v>15</v>
      </c>
      <c r="C47" s="4" t="s">
        <v>294</v>
      </c>
      <c r="D47" s="5">
        <v>46384</v>
      </c>
      <c r="E47" s="4" t="s">
        <v>295</v>
      </c>
      <c r="F47" s="4"/>
      <c r="G4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8" spans="1:7">
      <c r="A48" s="4" t="s">
        <v>340</v>
      </c>
      <c r="B48" s="4" t="s">
        <v>27</v>
      </c>
      <c r="C48" s="4" t="s">
        <v>288</v>
      </c>
      <c r="D48" s="5">
        <v>46364</v>
      </c>
      <c r="E48" s="4" t="s">
        <v>295</v>
      </c>
      <c r="F48" s="4"/>
      <c r="G4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49" spans="1:7">
      <c r="A49" s="4" t="s">
        <v>341</v>
      </c>
      <c r="B49" s="4" t="s">
        <v>27</v>
      </c>
      <c r="C49" s="4" t="s">
        <v>298</v>
      </c>
      <c r="D49" s="5">
        <v>46314</v>
      </c>
      <c r="E49" s="4" t="s">
        <v>292</v>
      </c>
      <c r="F49" s="5">
        <v>46300</v>
      </c>
      <c r="G49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0" spans="1:7">
      <c r="A50" s="4" t="s">
        <v>342</v>
      </c>
      <c r="B50" s="4" t="s">
        <v>32</v>
      </c>
      <c r="C50" s="4" t="s">
        <v>298</v>
      </c>
      <c r="D50" s="5">
        <v>46280</v>
      </c>
      <c r="E50" s="4" t="s">
        <v>292</v>
      </c>
      <c r="F50" s="5">
        <v>46278</v>
      </c>
      <c r="G5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1" spans="1:7">
      <c r="A51" s="4" t="s">
        <v>343</v>
      </c>
      <c r="B51" s="4" t="s">
        <v>32</v>
      </c>
      <c r="C51" s="4" t="s">
        <v>291</v>
      </c>
      <c r="D51" s="5">
        <v>46288</v>
      </c>
      <c r="E51" s="4" t="s">
        <v>292</v>
      </c>
      <c r="F51" s="5">
        <v>46278</v>
      </c>
      <c r="G51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2" spans="1:7">
      <c r="A52" s="4" t="s">
        <v>344</v>
      </c>
      <c r="B52" s="4" t="s">
        <v>34</v>
      </c>
      <c r="C52" s="4" t="s">
        <v>288</v>
      </c>
      <c r="D52" s="5">
        <v>46347</v>
      </c>
      <c r="E52" s="4" t="s">
        <v>292</v>
      </c>
      <c r="F52" s="5">
        <v>46299</v>
      </c>
      <c r="G52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3" spans="1:7">
      <c r="A53" s="4" t="s">
        <v>345</v>
      </c>
      <c r="B53" s="4" t="s">
        <v>34</v>
      </c>
      <c r="C53" s="4" t="s">
        <v>298</v>
      </c>
      <c r="D53" s="5">
        <v>46323</v>
      </c>
      <c r="E53" s="4" t="s">
        <v>292</v>
      </c>
      <c r="F53" s="5">
        <v>46300</v>
      </c>
      <c r="G5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4" spans="1:7">
      <c r="A54" s="4" t="s">
        <v>346</v>
      </c>
      <c r="B54" s="4" t="s">
        <v>79</v>
      </c>
      <c r="C54" s="4" t="s">
        <v>288</v>
      </c>
      <c r="D54" s="5">
        <v>46299</v>
      </c>
      <c r="E54" s="4" t="s">
        <v>292</v>
      </c>
      <c r="F54" s="5">
        <v>46290</v>
      </c>
      <c r="G54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5" spans="1:7">
      <c r="A55" s="4" t="s">
        <v>347</v>
      </c>
      <c r="B55" s="4" t="s">
        <v>79</v>
      </c>
      <c r="C55" s="4" t="s">
        <v>294</v>
      </c>
      <c r="D55" s="5">
        <v>46366</v>
      </c>
      <c r="E55" s="4" t="s">
        <v>292</v>
      </c>
      <c r="F55" s="5">
        <v>46299</v>
      </c>
      <c r="G55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6" spans="1:7">
      <c r="A56" s="4" t="s">
        <v>348</v>
      </c>
      <c r="B56" s="4" t="s">
        <v>81</v>
      </c>
      <c r="C56" s="4" t="s">
        <v>294</v>
      </c>
      <c r="D56" s="5">
        <v>46336</v>
      </c>
      <c r="E56" s="4" t="s">
        <v>289</v>
      </c>
      <c r="F56" s="4"/>
      <c r="G5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57" spans="1:7">
      <c r="A57" s="4" t="s">
        <v>349</v>
      </c>
      <c r="B57" s="4" t="s">
        <v>81</v>
      </c>
      <c r="C57" s="4" t="s">
        <v>298</v>
      </c>
      <c r="D57" s="5">
        <v>46307</v>
      </c>
      <c r="E57" s="4" t="s">
        <v>295</v>
      </c>
      <c r="F57" s="4"/>
      <c r="G57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58" spans="1:7">
      <c r="A58" s="4" t="s">
        <v>350</v>
      </c>
      <c r="B58" s="4" t="s">
        <v>63</v>
      </c>
      <c r="C58" s="4" t="s">
        <v>288</v>
      </c>
      <c r="D58" s="5">
        <v>46335</v>
      </c>
      <c r="E58" s="4" t="s">
        <v>292</v>
      </c>
      <c r="F58" s="5">
        <v>46299</v>
      </c>
      <c r="G58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59" spans="1:7">
      <c r="A59" s="4" t="s">
        <v>351</v>
      </c>
      <c r="B59" s="4" t="s">
        <v>63</v>
      </c>
      <c r="C59" s="4" t="s">
        <v>291</v>
      </c>
      <c r="D59" s="5">
        <v>46347</v>
      </c>
      <c r="E59" s="4" t="s">
        <v>295</v>
      </c>
      <c r="F59" s="4"/>
      <c r="G5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0" spans="1:7">
      <c r="A60" s="4" t="s">
        <v>352</v>
      </c>
      <c r="B60" s="4" t="s">
        <v>71</v>
      </c>
      <c r="C60" s="4" t="s">
        <v>288</v>
      </c>
      <c r="D60" s="5">
        <v>46330</v>
      </c>
      <c r="E60" s="4" t="s">
        <v>295</v>
      </c>
      <c r="F60" s="4"/>
      <c r="G60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1" spans="1:7">
      <c r="A61" s="4" t="s">
        <v>353</v>
      </c>
      <c r="B61" s="4" t="s">
        <v>71</v>
      </c>
      <c r="C61" s="4" t="s">
        <v>294</v>
      </c>
      <c r="D61" s="5">
        <v>46287</v>
      </c>
      <c r="E61" s="4" t="s">
        <v>292</v>
      </c>
      <c r="F61" s="5">
        <v>46283</v>
      </c>
      <c r="G61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62" spans="1:7">
      <c r="A62" s="4" t="s">
        <v>354</v>
      </c>
      <c r="B62" s="4" t="s">
        <v>83</v>
      </c>
      <c r="C62" s="4" t="s">
        <v>291</v>
      </c>
      <c r="D62" s="5">
        <v>46317</v>
      </c>
      <c r="E62" s="4" t="s">
        <v>289</v>
      </c>
      <c r="F62" s="4"/>
      <c r="G62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3" spans="1:7">
      <c r="A63" s="4" t="s">
        <v>355</v>
      </c>
      <c r="B63" s="4" t="s">
        <v>83</v>
      </c>
      <c r="C63" s="4" t="s">
        <v>294</v>
      </c>
      <c r="D63" s="5">
        <v>46280</v>
      </c>
      <c r="E63" s="4" t="s">
        <v>292</v>
      </c>
      <c r="F63" s="5">
        <v>46274</v>
      </c>
      <c r="G63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64" spans="1:7">
      <c r="A64" s="4" t="s">
        <v>356</v>
      </c>
      <c r="B64" s="4" t="s">
        <v>43</v>
      </c>
      <c r="C64" s="4" t="s">
        <v>291</v>
      </c>
      <c r="D64" s="5">
        <v>46348</v>
      </c>
      <c r="E64" s="4" t="s">
        <v>295</v>
      </c>
      <c r="F64" s="4"/>
      <c r="G64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5" spans="1:7">
      <c r="A65" s="4" t="s">
        <v>357</v>
      </c>
      <c r="B65" s="4" t="s">
        <v>43</v>
      </c>
      <c r="C65" s="4" t="s">
        <v>294</v>
      </c>
      <c r="D65" s="5">
        <v>46344</v>
      </c>
      <c r="E65" s="4" t="s">
        <v>295</v>
      </c>
      <c r="F65" s="4"/>
      <c r="G65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6" spans="1:7">
      <c r="A66" s="4" t="s">
        <v>358</v>
      </c>
      <c r="B66" s="4" t="s">
        <v>65</v>
      </c>
      <c r="C66" s="4" t="s">
        <v>298</v>
      </c>
      <c r="D66" s="5">
        <v>46330</v>
      </c>
      <c r="E66" s="4" t="s">
        <v>295</v>
      </c>
      <c r="F66" s="4"/>
      <c r="G6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7" spans="1:7">
      <c r="A67" s="4" t="s">
        <v>359</v>
      </c>
      <c r="B67" s="4" t="s">
        <v>65</v>
      </c>
      <c r="C67" s="4" t="s">
        <v>288</v>
      </c>
      <c r="D67" s="5">
        <v>46285</v>
      </c>
      <c r="E67" s="4" t="s">
        <v>292</v>
      </c>
      <c r="F67" s="5">
        <v>46278</v>
      </c>
      <c r="G67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68" spans="1:7">
      <c r="A68" s="4" t="s">
        <v>360</v>
      </c>
      <c r="B68" s="4" t="s">
        <v>29</v>
      </c>
      <c r="C68" s="4" t="s">
        <v>298</v>
      </c>
      <c r="D68" s="5">
        <v>46334</v>
      </c>
      <c r="E68" s="4" t="s">
        <v>295</v>
      </c>
      <c r="F68" s="4"/>
      <c r="G6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69" spans="1:7">
      <c r="A69" s="4" t="s">
        <v>361</v>
      </c>
      <c r="B69" s="4" t="s">
        <v>29</v>
      </c>
      <c r="C69" s="4" t="s">
        <v>294</v>
      </c>
      <c r="D69" s="5">
        <v>46370</v>
      </c>
      <c r="E69" s="4" t="s">
        <v>295</v>
      </c>
      <c r="F69" s="4"/>
      <c r="G6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0" spans="1:7">
      <c r="A70" s="4" t="s">
        <v>362</v>
      </c>
      <c r="B70" s="4" t="s">
        <v>89</v>
      </c>
      <c r="C70" s="4" t="s">
        <v>298</v>
      </c>
      <c r="D70" s="5">
        <v>46331</v>
      </c>
      <c r="E70" s="4" t="s">
        <v>292</v>
      </c>
      <c r="F70" s="5">
        <v>46301</v>
      </c>
      <c r="G7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71" spans="1:7">
      <c r="A71" s="4" t="s">
        <v>363</v>
      </c>
      <c r="B71" s="4" t="s">
        <v>89</v>
      </c>
      <c r="C71" s="4" t="s">
        <v>288</v>
      </c>
      <c r="D71" s="5">
        <v>46382</v>
      </c>
      <c r="E71" s="4" t="s">
        <v>295</v>
      </c>
      <c r="F71" s="4"/>
      <c r="G7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2" spans="1:7">
      <c r="A72" s="4" t="s">
        <v>364</v>
      </c>
      <c r="B72" s="4" t="s">
        <v>10</v>
      </c>
      <c r="C72" s="4" t="s">
        <v>294</v>
      </c>
      <c r="D72" s="5">
        <v>46326</v>
      </c>
      <c r="E72" s="4" t="s">
        <v>292</v>
      </c>
      <c r="F72" s="5">
        <v>46301</v>
      </c>
      <c r="G72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73" spans="1:7">
      <c r="A73" s="4" t="s">
        <v>365</v>
      </c>
      <c r="B73" s="4" t="s">
        <v>10</v>
      </c>
      <c r="C73" s="4" t="s">
        <v>298</v>
      </c>
      <c r="D73" s="5">
        <v>46335</v>
      </c>
      <c r="E73" s="4" t="s">
        <v>295</v>
      </c>
      <c r="F73" s="4"/>
      <c r="G73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4" spans="1:7">
      <c r="A74" s="4" t="s">
        <v>366</v>
      </c>
      <c r="B74" s="4" t="s">
        <v>47</v>
      </c>
      <c r="C74" s="4" t="s">
        <v>288</v>
      </c>
      <c r="D74" s="5">
        <v>46319</v>
      </c>
      <c r="E74" s="4" t="s">
        <v>295</v>
      </c>
      <c r="F74" s="4"/>
      <c r="G74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5" spans="1:7">
      <c r="A75" s="4" t="s">
        <v>367</v>
      </c>
      <c r="B75" s="4" t="s">
        <v>47</v>
      </c>
      <c r="C75" s="4" t="s">
        <v>291</v>
      </c>
      <c r="D75" s="5">
        <v>46308</v>
      </c>
      <c r="E75" s="4" t="s">
        <v>289</v>
      </c>
      <c r="F75" s="4"/>
      <c r="G75" s="4" t="str">
        <f ca="1">IF(Training[[#This Row],[Status]]="Completed","Done",IF(Training[[#This Row],[DueDate]]&lt;TODAY(),"CHASE - OVERDUE",IF(Training[[#This Row],[DueDate]]-TODAY()&lt;=14,"Due soon","On track")))</f>
        <v>Due soon</v>
      </c>
    </row>
    <row r="76" spans="1:7">
      <c r="A76" s="4" t="s">
        <v>368</v>
      </c>
      <c r="B76" s="4" t="s">
        <v>73</v>
      </c>
      <c r="C76" s="4" t="s">
        <v>291</v>
      </c>
      <c r="D76" s="5">
        <v>46345</v>
      </c>
      <c r="E76" s="4" t="s">
        <v>295</v>
      </c>
      <c r="F76" s="4"/>
      <c r="G76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7" spans="1:7">
      <c r="A77" s="4" t="s">
        <v>369</v>
      </c>
      <c r="B77" s="4" t="s">
        <v>73</v>
      </c>
      <c r="C77" s="4" t="s">
        <v>288</v>
      </c>
      <c r="D77" s="5">
        <v>46347</v>
      </c>
      <c r="E77" s="4" t="s">
        <v>289</v>
      </c>
      <c r="F77" s="4"/>
      <c r="G77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8" spans="1:7">
      <c r="A78" s="4" t="s">
        <v>370</v>
      </c>
      <c r="B78" s="4" t="s">
        <v>5</v>
      </c>
      <c r="C78" s="4" t="s">
        <v>298</v>
      </c>
      <c r="D78" s="5">
        <v>46373</v>
      </c>
      <c r="E78" s="4" t="s">
        <v>295</v>
      </c>
      <c r="F78" s="4"/>
      <c r="G78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79" spans="1:7">
      <c r="A79" s="4" t="s">
        <v>371</v>
      </c>
      <c r="B79" s="4" t="s">
        <v>5</v>
      </c>
      <c r="C79" s="4" t="s">
        <v>291</v>
      </c>
      <c r="D79" s="5">
        <v>46362</v>
      </c>
      <c r="E79" s="4" t="s">
        <v>295</v>
      </c>
      <c r="F79" s="4"/>
      <c r="G79" s="4" t="str">
        <f ca="1">IF(Training[[#This Row],[Status]]="Completed","Done",IF(Training[[#This Row],[DueDate]]&lt;TODAY(),"CHASE - OVERDUE",IF(Training[[#This Row],[DueDate]]-TODAY()&lt;=14,"Due soon","On track")))</f>
        <v>On track</v>
      </c>
    </row>
    <row r="80" spans="1:7">
      <c r="A80" s="4" t="s">
        <v>372</v>
      </c>
      <c r="B80" s="4" t="s">
        <v>93</v>
      </c>
      <c r="C80" s="4" t="s">
        <v>291</v>
      </c>
      <c r="D80" s="5">
        <v>46298</v>
      </c>
      <c r="E80" s="4" t="s">
        <v>292</v>
      </c>
      <c r="F80" s="5">
        <v>46296</v>
      </c>
      <c r="G80" s="4" t="str">
        <f ca="1">IF(Training[[#This Row],[Status]]="Completed","Done",IF(Training[[#This Row],[DueDate]]&lt;TODAY(),"CHASE - OVERDUE",IF(Training[[#This Row],[DueDate]]-TODAY()&lt;=14,"Due soon","On track")))</f>
        <v>Done</v>
      </c>
    </row>
    <row r="81" spans="1:7">
      <c r="A81" s="4" t="s">
        <v>373</v>
      </c>
      <c r="B81" s="4" t="s">
        <v>93</v>
      </c>
      <c r="C81" s="4" t="s">
        <v>288</v>
      </c>
      <c r="D81" s="5">
        <v>46377</v>
      </c>
      <c r="E81" s="4" t="s">
        <v>295</v>
      </c>
      <c r="F81" s="4"/>
      <c r="G81" s="4" t="str">
        <f ca="1">IF(Training[[#This Row],[Status]]="Completed","Done",IF(Training[[#This Row],[DueDate]]&lt;TODAY(),"CHASE - OVERDUE",IF(Training[[#This Row],[DueDate]]-TODAY()&lt;=14,"Due soon","On track")))</f>
        <v>On track</v>
      </c>
    </row>
  </sheetData>
  <dataValidations count="1">
    <dataValidation type="list" allowBlank="1" showInputMessage="1" showErrorMessage="1" sqref="E2:E81" xr:uid="{15783BBA-B94D-43F8-9A32-B472414B95C7}">
      <formula1>"Not Started,In Progress,Completed"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pane ySplit="1" topLeftCell="A19" activePane="bottomLeft" state="frozen"/>
      <selection pane="bottomLeft" activeCell="D17" sqref="D17"/>
    </sheetView>
  </sheetViews>
  <sheetFormatPr defaultRowHeight="15"/>
  <cols>
    <col min="1" max="1" width="26.7109375" customWidth="1"/>
    <col min="2" max="2" width="21.5703125" customWidth="1"/>
    <col min="3" max="3" width="7.42578125" customWidth="1"/>
    <col min="4" max="4" width="14.140625" customWidth="1"/>
    <col min="5" max="5" width="25.28515625" customWidth="1"/>
    <col min="6" max="6" width="18.7109375" style="14" customWidth="1"/>
  </cols>
  <sheetData>
    <row r="1" spans="1:6">
      <c r="A1" s="3" t="s">
        <v>374</v>
      </c>
      <c r="B1" s="4"/>
    </row>
    <row r="2" spans="1:6">
      <c r="A2" s="12" t="s">
        <v>375</v>
      </c>
      <c r="B2" s="4"/>
      <c r="D2" t="s">
        <v>0</v>
      </c>
      <c r="E2" t="s">
        <v>283</v>
      </c>
      <c r="F2" s="14" t="s">
        <v>284</v>
      </c>
    </row>
    <row r="3" spans="1:6">
      <c r="A3" s="4" t="s">
        <v>376</v>
      </c>
      <c r="B3" s="4">
        <f>ROWS(Requests[RequestID])</f>
        <v>25</v>
      </c>
      <c r="D3" t="str" cm="1">
        <f t="array" aca="1" ref="D3:F10" ca="1">_xlfn._xlws.FILTER(Training[[PractID]:[DueDate]],Training[ChaseFlag]="CHASE - OVERDUE","None")</f>
        <v>P002</v>
      </c>
      <c r="E3" t="str">
        <f ca="1"/>
        <v>Code of Conduct</v>
      </c>
      <c r="F3" s="14">
        <f ca="1"/>
        <v>46292</v>
      </c>
    </row>
    <row r="4" spans="1:6">
      <c r="A4" s="4" t="s">
        <v>133</v>
      </c>
      <c r="B4" s="4">
        <f>COUNTIFS(Requests[Status],"Open")</f>
        <v>3</v>
      </c>
      <c r="D4" t="str">
        <f ca="1"/>
        <v>P004</v>
      </c>
      <c r="E4" t="str">
        <f ca="1"/>
        <v>Code of Conduct</v>
      </c>
      <c r="F4" s="14">
        <f ca="1"/>
        <v>46286</v>
      </c>
    </row>
    <row r="5" spans="1:6">
      <c r="A5" s="4" t="s">
        <v>115</v>
      </c>
      <c r="B5" s="4">
        <f>COUNTIFS(Requests[Status],"Scheduled")</f>
        <v>8</v>
      </c>
      <c r="D5" t="str">
        <f ca="1"/>
        <v>P005</v>
      </c>
      <c r="E5" t="str">
        <f ca="1"/>
        <v>Data Protection Basics</v>
      </c>
      <c r="F5" s="14">
        <f ca="1"/>
        <v>46288</v>
      </c>
    </row>
    <row r="6" spans="1:6">
      <c r="A6" s="4" t="s">
        <v>111</v>
      </c>
      <c r="B6" s="4">
        <f>COUNTIFS(Requests[Status],"Closed")</f>
        <v>14</v>
      </c>
      <c r="D6" t="str">
        <f ca="1"/>
        <v>P011</v>
      </c>
      <c r="E6" t="str">
        <f ca="1"/>
        <v>Code of Conduct</v>
      </c>
      <c r="F6" s="14">
        <f ca="1"/>
        <v>46287</v>
      </c>
    </row>
    <row r="7" spans="1:6">
      <c r="A7" s="4" t="s">
        <v>377</v>
      </c>
      <c r="B7" s="13">
        <f ca="1">COUNTIFS(Requests[SLAStatus],"Met")/B6</f>
        <v>0.7857142857142857</v>
      </c>
      <c r="D7" t="str">
        <f ca="1"/>
        <v>P015</v>
      </c>
      <c r="E7" t="str">
        <f ca="1"/>
        <v>Data Protection Basics</v>
      </c>
      <c r="F7" s="14">
        <f ca="1"/>
        <v>46294</v>
      </c>
    </row>
    <row r="8" spans="1:6">
      <c r="A8" s="4" t="s">
        <v>378</v>
      </c>
      <c r="B8" s="4">
        <f>COUNTIFS(Requests[StaffingCheck],"UNDERSTAFFED")</f>
        <v>3</v>
      </c>
      <c r="D8" t="str">
        <f ca="1"/>
        <v>P018</v>
      </c>
      <c r="E8" t="str">
        <f ca="1"/>
        <v>Code of Conduct</v>
      </c>
      <c r="F8" s="14">
        <f ca="1"/>
        <v>46291</v>
      </c>
    </row>
    <row r="9" spans="1:6">
      <c r="A9" s="4" t="s">
        <v>379</v>
      </c>
      <c r="B9" s="4">
        <f>COUNTIFS(Schedule[DoubleBooked],"CONFLICT")</f>
        <v>8</v>
      </c>
      <c r="D9" t="str">
        <f ca="1"/>
        <v>P019</v>
      </c>
      <c r="E9" t="str">
        <f ca="1"/>
        <v>Data Protection Basics</v>
      </c>
      <c r="F9" s="14">
        <f ca="1"/>
        <v>46292</v>
      </c>
    </row>
    <row r="10" spans="1:6">
      <c r="A10" s="4" t="s">
        <v>380</v>
      </c>
      <c r="B10" s="4">
        <f>COUNTIFS(Schedule[LeaveClash],"ON LEAVE")</f>
        <v>3</v>
      </c>
      <c r="D10" t="str">
        <f ca="1"/>
        <v>P022</v>
      </c>
      <c r="E10" t="str">
        <f ca="1"/>
        <v>Data Protection Basics</v>
      </c>
      <c r="F10" s="14">
        <f ca="1"/>
        <v>46294</v>
      </c>
    </row>
    <row r="11" spans="1:6">
      <c r="A11" s="4" t="s">
        <v>381</v>
      </c>
      <c r="B11" s="4">
        <f ca="1">COUNTIFS(Training[ChaseFlag],"CHASE - OVERDUE")</f>
        <v>8</v>
      </c>
    </row>
    <row r="12" spans="1:6">
      <c r="A12" s="4" t="s">
        <v>382</v>
      </c>
      <c r="B12" s="13">
        <f>COUNTIFS(Training[Status],"Completed")/ROWS(Training[TrainingID])</f>
        <v>0.33750000000000002</v>
      </c>
    </row>
    <row r="13" spans="1:6">
      <c r="A13" s="4" t="s">
        <v>383</v>
      </c>
      <c r="B13" s="4">
        <f>COUNTIFS(Practitioners[WeekendAvailable],"Yes")</f>
        <v>28</v>
      </c>
    </row>
    <row r="16" spans="1:6">
      <c r="A16" t="s">
        <v>2</v>
      </c>
      <c r="B16" t="s">
        <v>104</v>
      </c>
    </row>
    <row r="17" spans="1:2">
      <c r="A17" t="s">
        <v>20</v>
      </c>
      <c r="B17">
        <f>SUMIFS(Requests[StaffGap],Requests[Region],A17,Requests[Status],"&lt;&gt;Open")</f>
        <v>2</v>
      </c>
    </row>
    <row r="18" spans="1:2">
      <c r="A18" t="s">
        <v>31</v>
      </c>
      <c r="B18">
        <f>SUMIFS(Requests[StaffGap],Requests[Region],A18,Requests[Status],"&lt;&gt;Open")</f>
        <v>1</v>
      </c>
    </row>
    <row r="19" spans="1:2">
      <c r="A19" t="s">
        <v>7</v>
      </c>
      <c r="B19">
        <f>SUMIFS(Requests[StaffGap],Requests[Region],A19,Requests[Status],"&lt;&gt;Open")</f>
        <v>0</v>
      </c>
    </row>
    <row r="20" spans="1:2">
      <c r="A20" t="s">
        <v>12</v>
      </c>
      <c r="B20">
        <f>SUMIFS(Requests[StaffGap],Requests[Region],A20,Requests[Status],"&lt;&gt;Open")</f>
        <v>0</v>
      </c>
    </row>
  </sheetData>
  <conditionalFormatting sqref="B8:B11">
    <cfRule type="cellIs" dxfId="0" priority="1" operator="greater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2026-10-07T03:27:35Z</dcterms:created>
  <dcterms:modified xsi:type="dcterms:W3CDTF">2026-10-07T10:19:51Z</dcterms:modified>
  <cp:category/>
  <cp:contentStatus/>
</cp:coreProperties>
</file>